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F1024 struktur\Projektuppgift\"/>
    </mc:Choice>
  </mc:AlternateContent>
  <bookViews>
    <workbookView xWindow="0" yWindow="0" windowWidth="25600" windowHeight="10050"/>
  </bookViews>
  <sheets>
    <sheet name="Organisation" sheetId="9" r:id="rId1"/>
    <sheet name="Övergripande tidplan" sheetId="12" r:id="rId2"/>
    <sheet name="Tidplan Grupp A" sheetId="10" r:id="rId3"/>
    <sheet name="Tidplan Grupp B" sheetId="7" r:id="rId4"/>
    <sheet name="Tidplan Grupp C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G5" i="12" l="1"/>
  <c r="BG8" i="12"/>
  <c r="BG21" i="12"/>
  <c r="BH5" i="12"/>
  <c r="BJ5" i="12"/>
  <c r="BL5" i="12"/>
  <c r="BN18" i="12" l="1"/>
  <c r="BN19" i="12"/>
  <c r="BN20" i="12"/>
  <c r="BI5" i="7" l="1"/>
  <c r="BI9" i="7" s="1"/>
  <c r="BI24" i="7" s="1"/>
  <c r="BG9" i="7"/>
  <c r="BG24" i="7" s="1"/>
  <c r="BH9" i="7"/>
  <c r="BH24" i="7" s="1"/>
  <c r="BN5" i="12"/>
  <c r="BM29" i="12"/>
  <c r="BM28" i="12"/>
  <c r="BM27" i="12"/>
  <c r="BM26" i="12"/>
  <c r="BN25" i="12"/>
  <c r="BL25" i="12"/>
  <c r="BK25" i="12"/>
  <c r="BJ25" i="12"/>
  <c r="BI25" i="12"/>
  <c r="BH25" i="12"/>
  <c r="BG25" i="12"/>
  <c r="BM24" i="12"/>
  <c r="BM23" i="12"/>
  <c r="BM22" i="12"/>
  <c r="BN21" i="12"/>
  <c r="BL21" i="12"/>
  <c r="BK21" i="12"/>
  <c r="BJ21" i="12"/>
  <c r="BI21" i="12"/>
  <c r="BH21" i="12"/>
  <c r="BM20" i="12"/>
  <c r="BM19" i="12"/>
  <c r="BM18" i="12"/>
  <c r="BN17" i="12"/>
  <c r="BL17" i="12"/>
  <c r="BK17" i="12"/>
  <c r="BJ17" i="12"/>
  <c r="BI17" i="12"/>
  <c r="BH17" i="12"/>
  <c r="BG17" i="12"/>
  <c r="BM16" i="12"/>
  <c r="BM15" i="12"/>
  <c r="BM14" i="12"/>
  <c r="BN13" i="12"/>
  <c r="BL13" i="12"/>
  <c r="BK13" i="12"/>
  <c r="BJ13" i="12"/>
  <c r="BI13" i="12"/>
  <c r="BH13" i="12"/>
  <c r="BG13" i="12"/>
  <c r="BM12" i="12"/>
  <c r="BM11" i="12"/>
  <c r="BM10" i="12"/>
  <c r="BM9" i="12"/>
  <c r="BN8" i="12"/>
  <c r="BL8" i="12"/>
  <c r="BK8" i="12"/>
  <c r="BJ8" i="12"/>
  <c r="BI8" i="12"/>
  <c r="BH8" i="12"/>
  <c r="BM7" i="12"/>
  <c r="BM6" i="12"/>
  <c r="BK5" i="12"/>
  <c r="BI5" i="12"/>
  <c r="BM13" i="12" l="1"/>
  <c r="BM8" i="12"/>
  <c r="BM25" i="12"/>
  <c r="BI30" i="12"/>
  <c r="BL30" i="12"/>
  <c r="BM21" i="12"/>
  <c r="BK30" i="12"/>
  <c r="BH30" i="12"/>
  <c r="BG30" i="12"/>
  <c r="BM17" i="12"/>
  <c r="BJ30" i="12"/>
  <c r="BM5" i="12"/>
  <c r="BI29" i="8"/>
  <c r="BH20" i="10"/>
  <c r="BG20" i="10"/>
  <c r="BI10" i="10"/>
  <c r="BI5" i="10"/>
  <c r="BG23" i="8"/>
  <c r="BG29" i="8" s="1"/>
  <c r="BH23" i="8"/>
  <c r="BH29" i="8" s="1"/>
  <c r="BI20" i="10" l="1"/>
</calcChain>
</file>

<file path=xl/sharedStrings.xml><?xml version="1.0" encoding="utf-8"?>
<sst xmlns="http://schemas.openxmlformats.org/spreadsheetml/2006/main" count="291" uniqueCount="161">
  <si>
    <t>Tidplanering</t>
  </si>
  <si>
    <t>Organisationsplanering</t>
  </si>
  <si>
    <t>Dimensionering och val av komponenter</t>
  </si>
  <si>
    <t>Systemmodellering</t>
  </si>
  <si>
    <t>Ansvarig</t>
  </si>
  <si>
    <t>B</t>
  </si>
  <si>
    <t>A</t>
  </si>
  <si>
    <t>1.1</t>
  </si>
  <si>
    <t>1.2</t>
  </si>
  <si>
    <t>2.1</t>
  </si>
  <si>
    <t>2.2</t>
  </si>
  <si>
    <t>2.3</t>
  </si>
  <si>
    <t>3.1</t>
  </si>
  <si>
    <t>3.2</t>
  </si>
  <si>
    <t>3.4</t>
  </si>
  <si>
    <t>4.1</t>
  </si>
  <si>
    <t>4.2</t>
  </si>
  <si>
    <t>4.3</t>
  </si>
  <si>
    <t>5.1</t>
  </si>
  <si>
    <t>5.2</t>
  </si>
  <si>
    <t>5.3</t>
  </si>
  <si>
    <t>CAD-modellering av delsystemet</t>
  </si>
  <si>
    <t>Drivlina</t>
  </si>
  <si>
    <t>Övergripande för fordon</t>
  </si>
  <si>
    <t>Sammanställning av CAD-modeller</t>
  </si>
  <si>
    <t>Planering</t>
  </si>
  <si>
    <t>Go-kart</t>
  </si>
  <si>
    <t>C</t>
  </si>
  <si>
    <t>2.4</t>
  </si>
  <si>
    <t>Totalt</t>
  </si>
  <si>
    <t>Ans</t>
  </si>
  <si>
    <t>Inledande informationssökning</t>
  </si>
  <si>
    <t>Konstruktion av delsystem</t>
  </si>
  <si>
    <t>Konstruktion av framvagn med styrning</t>
  </si>
  <si>
    <t>CAD-modellering</t>
  </si>
  <si>
    <t>Hydraulik</t>
  </si>
  <si>
    <t>Pedalmekanism</t>
  </si>
  <si>
    <t>Bromssystem med bakaxel</t>
  </si>
  <si>
    <t>6.1</t>
  </si>
  <si>
    <t>6.2</t>
  </si>
  <si>
    <t>6.3</t>
  </si>
  <si>
    <t>6.4</t>
  </si>
  <si>
    <t>Fordonslayout</t>
  </si>
  <si>
    <t>Identifiering av krav</t>
  </si>
  <si>
    <t>Detaljkonstruktion och dimensionering</t>
  </si>
  <si>
    <t>Val av huvudcylinder</t>
  </si>
  <si>
    <t>Kraft- och geometranalys</t>
  </si>
  <si>
    <t>Identifiering av viktiga krav</t>
  </si>
  <si>
    <t>Dimensionering av lager</t>
  </si>
  <si>
    <t>Bestämning av lagerkrafter</t>
  </si>
  <si>
    <t>3.3</t>
  </si>
  <si>
    <t>4.5</t>
  </si>
  <si>
    <t>Konstruktion av lagersäten och infästningar</t>
  </si>
  <si>
    <t>Slutdokumentering</t>
  </si>
  <si>
    <t>Gem.</t>
  </si>
  <si>
    <t>Accelerationsförlopp</t>
  </si>
  <si>
    <t>Inbromsingsförlopp</t>
  </si>
  <si>
    <t>1.3</t>
  </si>
  <si>
    <t>2.5</t>
  </si>
  <si>
    <t>2.6</t>
  </si>
  <si>
    <t>2.7</t>
  </si>
  <si>
    <t>2.8</t>
  </si>
  <si>
    <t>Namn 1</t>
  </si>
  <si>
    <t>Namn 2</t>
  </si>
  <si>
    <t>Namn 3</t>
  </si>
  <si>
    <t>Namn 4</t>
  </si>
  <si>
    <t>Namn 5</t>
  </si>
  <si>
    <t>Namn 6</t>
  </si>
  <si>
    <t>Ansv.</t>
  </si>
  <si>
    <t xml:space="preserve">Konstruktion och dimensionering av lagring </t>
  </si>
  <si>
    <t>Upställning av beteendemodell</t>
  </si>
  <si>
    <t>Konstruktion och dimensionering av ingående delar</t>
  </si>
  <si>
    <t>Konstruktion och dimensionering av förband</t>
  </si>
  <si>
    <t>Koppling</t>
  </si>
  <si>
    <t>Motorfäste</t>
  </si>
  <si>
    <t>Växel</t>
  </si>
  <si>
    <t>Val och dimensionering av växel</t>
  </si>
  <si>
    <t>1.4</t>
  </si>
  <si>
    <t>1.5</t>
  </si>
  <si>
    <t>1.6</t>
  </si>
  <si>
    <t>4.4</t>
  </si>
  <si>
    <t>Detaljkonstruktion av infästningar i ram</t>
  </si>
  <si>
    <t>Bromsskiva med förband</t>
  </si>
  <si>
    <t>Bakaxellagring</t>
  </si>
  <si>
    <t>Val av Y-lager och lagerhus</t>
  </si>
  <si>
    <t xml:space="preserve">CAD-modellering </t>
  </si>
  <si>
    <t>Utlagd tid [h]</t>
  </si>
  <si>
    <t>Fetstil</t>
  </si>
  <si>
    <t>Sammordning av gränsnitt</t>
  </si>
  <si>
    <t>Utdelat antal timmar som får omfördelas inom undergruppen</t>
  </si>
  <si>
    <t>Utdelade timmar som får omfördelas inom hela projektgruppen</t>
  </si>
  <si>
    <t>Indikerar när aktiviteten ligger i tiden</t>
  </si>
  <si>
    <t>Automatisk summering av timmar inom aktivitet (Får ej ändras)</t>
  </si>
  <si>
    <t>Automatisk summering av utlagd tid (Får ej ändras)</t>
  </si>
  <si>
    <t>Tillgängligt antal timmar (Får ej ändras)</t>
  </si>
  <si>
    <t>Tillgänglig</t>
  </si>
  <si>
    <t>tid [h]</t>
  </si>
  <si>
    <t>Grupp</t>
  </si>
  <si>
    <t>Delsystem</t>
  </si>
  <si>
    <t>Förnamn</t>
  </si>
  <si>
    <t>Efternamn</t>
  </si>
  <si>
    <t>E-post</t>
  </si>
  <si>
    <t>Telefon</t>
  </si>
  <si>
    <t>B. Drivlina</t>
  </si>
  <si>
    <t>C. Bromssystem</t>
  </si>
  <si>
    <t>Handledare</t>
  </si>
  <si>
    <t>Ange tilldelat gruppnummer</t>
  </si>
  <si>
    <t>Ange tilldelad handledare</t>
  </si>
  <si>
    <t>1 Gruppinformation</t>
  </si>
  <si>
    <t>2. Ansvar för delsystem</t>
  </si>
  <si>
    <t>3. Uppdrag</t>
  </si>
  <si>
    <t>Projektledare</t>
  </si>
  <si>
    <t>Kraft- och geometrianalys</t>
  </si>
  <si>
    <t>Detaljkonstruktion och dimensionering av delar</t>
  </si>
  <si>
    <t>Kraftanalys av spindeln</t>
  </si>
  <si>
    <t>Konstruktion och dimensionering av hjullagring</t>
  </si>
  <si>
    <t>Konstruktion och dimensionering av styrledslagring</t>
  </si>
  <si>
    <t>Konstruktion och dimensionering av mekanism</t>
  </si>
  <si>
    <t>2.9</t>
  </si>
  <si>
    <t>Verifierande analyser</t>
  </si>
  <si>
    <t>3.5</t>
  </si>
  <si>
    <t>Utlagdtid [h]</t>
  </si>
  <si>
    <t>Tidplan för produktutvecklingsprojekt</t>
  </si>
  <si>
    <t>Styrmekanism</t>
  </si>
  <si>
    <t>A. Framvagn</t>
  </si>
  <si>
    <t>Organistationsplan för produktutvecklingsprojekt</t>
  </si>
  <si>
    <t>Lastfördelning och styrning</t>
  </si>
  <si>
    <t>Konstruktion av rattstång med Pitman-arm</t>
  </si>
  <si>
    <t>Val av komponenter</t>
  </si>
  <si>
    <t>CAD-koordinator</t>
  </si>
  <si>
    <t>Rapportkoordinator</t>
  </si>
  <si>
    <t>Grupp A: Detaljerad tidplanering för arbetet med delsystem</t>
  </si>
  <si>
    <t>Grupp B: Detaljerad tidplanering för arbetet med delsystem</t>
  </si>
  <si>
    <t>Grupp C: Detaljerad tidplanering för arbetet med delsystem</t>
  </si>
  <si>
    <t>Roll</t>
  </si>
  <si>
    <t>Systemkonstruktion</t>
  </si>
  <si>
    <t>Gate 1</t>
  </si>
  <si>
    <t>Systemanalys</t>
  </si>
  <si>
    <t>Projektplanering</t>
  </si>
  <si>
    <t>Gate 2</t>
  </si>
  <si>
    <t>Gate 3</t>
  </si>
  <si>
    <t>Slutleverans</t>
  </si>
  <si>
    <t>Slutredovisning</t>
  </si>
  <si>
    <t>Framtagning av konceptuell lösning</t>
  </si>
  <si>
    <t>Framtagning av konceptuell lösning för framvagn</t>
  </si>
  <si>
    <t>Framtagning av konceptuell lösing</t>
  </si>
  <si>
    <t>Dokumentkoordinator</t>
  </si>
  <si>
    <t>Lägg till det som ni tycker är lämpligt</t>
  </si>
  <si>
    <t>Gränssnittskoordinator</t>
  </si>
  <si>
    <t>v7</t>
  </si>
  <si>
    <t>v8</t>
  </si>
  <si>
    <t>v12</t>
  </si>
  <si>
    <t>v13</t>
  </si>
  <si>
    <t>v14</t>
  </si>
  <si>
    <t>v15</t>
  </si>
  <si>
    <t>Rapportseminarium</t>
  </si>
  <si>
    <t>v16</t>
  </si>
  <si>
    <t>v17</t>
  </si>
  <si>
    <t>v18</t>
  </si>
  <si>
    <t>v19</t>
  </si>
  <si>
    <t>v20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</si>
</sst>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3" fillId="3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5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2" xfId="0" applyFont="1" applyBorder="1" applyAlignment="1">
      <alignment horizontal="center"/>
    </xf>
    <xf numFmtId="0" fontId="2" fillId="0" borderId="7" xfId="0" applyFont="1" applyBorder="1"/>
    <xf numFmtId="0" fontId="2" fillId="0" borderId="15" xfId="0" applyFont="1" applyBorder="1" applyAlignment="1">
      <alignment horizontal="center"/>
    </xf>
    <xf numFmtId="0" fontId="3" fillId="0" borderId="6" xfId="0" applyFont="1" applyBorder="1"/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10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11" xfId="0" applyFont="1" applyBorder="1"/>
    <xf numFmtId="0" fontId="2" fillId="0" borderId="2" xfId="0" applyFont="1" applyBorder="1" applyAlignment="1">
      <alignment horizontal="center"/>
    </xf>
    <xf numFmtId="0" fontId="2" fillId="0" borderId="12" xfId="0" applyFont="1" applyBorder="1" applyAlignment="1">
      <alignment horizontal="right"/>
    </xf>
    <xf numFmtId="0" fontId="2" fillId="0" borderId="12" xfId="0" applyFont="1" applyBorder="1" applyAlignment="1">
      <alignment horizontal="right" vertic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4" fillId="0" borderId="0" xfId="0" applyFont="1"/>
    <xf numFmtId="0" fontId="2" fillId="8" borderId="11" xfId="0" applyFont="1" applyFill="1" applyBorder="1"/>
    <xf numFmtId="0" fontId="2" fillId="8" borderId="0" xfId="0" applyFont="1" applyFill="1"/>
    <xf numFmtId="0" fontId="2" fillId="8" borderId="12" xfId="0" applyFont="1" applyFill="1" applyBorder="1"/>
    <xf numFmtId="0" fontId="2" fillId="9" borderId="0" xfId="0" applyFont="1" applyFill="1"/>
    <xf numFmtId="0" fontId="2" fillId="9" borderId="11" xfId="0" applyFont="1" applyFill="1" applyBorder="1"/>
    <xf numFmtId="0" fontId="2" fillId="9" borderId="12" xfId="0" applyFont="1" applyFill="1" applyBorder="1"/>
    <xf numFmtId="0" fontId="2" fillId="10" borderId="13" xfId="0" applyFont="1" applyFill="1" applyBorder="1"/>
    <xf numFmtId="0" fontId="2" fillId="10" borderId="14" xfId="0" applyFont="1" applyFill="1" applyBorder="1"/>
    <xf numFmtId="0" fontId="2" fillId="10" borderId="15" xfId="0" applyFont="1" applyFill="1" applyBorder="1"/>
    <xf numFmtId="0" fontId="2" fillId="11" borderId="11" xfId="0" applyFont="1" applyFill="1" applyBorder="1"/>
    <xf numFmtId="0" fontId="2" fillId="11" borderId="0" xfId="0" applyFont="1" applyFill="1"/>
    <xf numFmtId="0" fontId="2" fillId="11" borderId="12" xfId="0" applyFont="1" applyFill="1" applyBorder="1"/>
    <xf numFmtId="0" fontId="2" fillId="12" borderId="11" xfId="0" applyFont="1" applyFill="1" applyBorder="1"/>
    <xf numFmtId="0" fontId="2" fillId="12" borderId="0" xfId="0" applyFont="1" applyFill="1"/>
    <xf numFmtId="0" fontId="2" fillId="12" borderId="12" xfId="0" applyFont="1" applyFill="1" applyBorder="1"/>
    <xf numFmtId="0" fontId="2" fillId="13" borderId="13" xfId="0" applyFont="1" applyFill="1" applyBorder="1"/>
    <xf numFmtId="0" fontId="2" fillId="13" borderId="14" xfId="0" applyFont="1" applyFill="1" applyBorder="1"/>
    <xf numFmtId="0" fontId="2" fillId="13" borderId="15" xfId="0" applyFont="1" applyFill="1" applyBorder="1"/>
    <xf numFmtId="0" fontId="2" fillId="16" borderId="0" xfId="0" applyFont="1" applyFill="1"/>
    <xf numFmtId="0" fontId="2" fillId="16" borderId="12" xfId="0" applyFont="1" applyFill="1" applyBorder="1"/>
    <xf numFmtId="0" fontId="2" fillId="18" borderId="0" xfId="0" applyFont="1" applyFill="1"/>
    <xf numFmtId="0" fontId="2" fillId="18" borderId="12" xfId="0" applyFont="1" applyFill="1" applyBorder="1"/>
    <xf numFmtId="0" fontId="2" fillId="19" borderId="0" xfId="0" applyFont="1" applyFill="1"/>
    <xf numFmtId="0" fontId="2" fillId="19" borderId="12" xfId="0" applyFont="1" applyFill="1" applyBorder="1"/>
    <xf numFmtId="0" fontId="2" fillId="20" borderId="14" xfId="0" applyFont="1" applyFill="1" applyBorder="1"/>
    <xf numFmtId="0" fontId="2" fillId="20" borderId="15" xfId="0" applyFont="1" applyFill="1" applyBorder="1"/>
    <xf numFmtId="0" fontId="2" fillId="15" borderId="11" xfId="0" applyFont="1" applyFill="1" applyBorder="1"/>
    <xf numFmtId="0" fontId="2" fillId="15" borderId="0" xfId="0" applyFont="1" applyFill="1"/>
    <xf numFmtId="0" fontId="2" fillId="15" borderId="12" xfId="0" applyFont="1" applyFill="1" applyBorder="1"/>
    <xf numFmtId="0" fontId="2" fillId="14" borderId="11" xfId="0" applyFont="1" applyFill="1" applyBorder="1"/>
    <xf numFmtId="0" fontId="2" fillId="14" borderId="0" xfId="0" applyFont="1" applyFill="1"/>
    <xf numFmtId="0" fontId="2" fillId="14" borderId="12" xfId="0" applyFont="1" applyFill="1" applyBorder="1"/>
    <xf numFmtId="0" fontId="2" fillId="21" borderId="13" xfId="0" applyFont="1" applyFill="1" applyBorder="1"/>
    <xf numFmtId="0" fontId="2" fillId="21" borderId="14" xfId="0" applyFont="1" applyFill="1" applyBorder="1"/>
    <xf numFmtId="0" fontId="2" fillId="21" borderId="15" xfId="0" applyFont="1" applyFill="1" applyBorder="1"/>
    <xf numFmtId="0" fontId="4" fillId="22" borderId="11" xfId="0" applyFont="1" applyFill="1" applyBorder="1"/>
    <xf numFmtId="0" fontId="4" fillId="22" borderId="0" xfId="0" applyFont="1" applyFill="1"/>
    <xf numFmtId="0" fontId="4" fillId="22" borderId="12" xfId="0" applyFont="1" applyFill="1" applyBorder="1"/>
    <xf numFmtId="0" fontId="2" fillId="22" borderId="11" xfId="0" applyFont="1" applyFill="1" applyBorder="1"/>
    <xf numFmtId="0" fontId="2" fillId="22" borderId="0" xfId="0" applyFont="1" applyFill="1"/>
    <xf numFmtId="0" fontId="2" fillId="23" borderId="13" xfId="0" applyFont="1" applyFill="1" applyBorder="1"/>
    <xf numFmtId="0" fontId="2" fillId="23" borderId="14" xfId="0" applyFont="1" applyFill="1" applyBorder="1"/>
    <xf numFmtId="0" fontId="2" fillId="23" borderId="15" xfId="0" applyFont="1" applyFill="1" applyBorder="1"/>
    <xf numFmtId="0" fontId="2" fillId="17" borderId="11" xfId="0" applyFont="1" applyFill="1" applyBorder="1"/>
    <xf numFmtId="0" fontId="2" fillId="17" borderId="0" xfId="0" applyFont="1" applyFill="1"/>
    <xf numFmtId="0" fontId="2" fillId="17" borderId="12" xfId="0" applyFont="1" applyFill="1" applyBorder="1"/>
    <xf numFmtId="0" fontId="2" fillId="24" borderId="11" xfId="0" applyFont="1" applyFill="1" applyBorder="1"/>
    <xf numFmtId="0" fontId="2" fillId="24" borderId="0" xfId="0" applyFont="1" applyFill="1"/>
    <xf numFmtId="0" fontId="2" fillId="24" borderId="12" xfId="0" applyFont="1" applyFill="1" applyBorder="1"/>
    <xf numFmtId="0" fontId="2" fillId="25" borderId="11" xfId="0" applyFont="1" applyFill="1" applyBorder="1"/>
    <xf numFmtId="0" fontId="2" fillId="25" borderId="0" xfId="0" applyFont="1" applyFill="1"/>
    <xf numFmtId="0" fontId="2" fillId="25" borderId="12" xfId="0" applyFont="1" applyFill="1" applyBorder="1"/>
    <xf numFmtId="0" fontId="2" fillId="26" borderId="13" xfId="0" applyFont="1" applyFill="1" applyBorder="1"/>
    <xf numFmtId="0" fontId="2" fillId="26" borderId="14" xfId="0" applyFont="1" applyFill="1" applyBorder="1"/>
    <xf numFmtId="0" fontId="2" fillId="26" borderId="15" xfId="0" applyFont="1" applyFill="1" applyBorder="1"/>
    <xf numFmtId="0" fontId="2" fillId="0" borderId="0" xfId="0" applyFont="1" applyAlignment="1">
      <alignment horizontal="right" vertical="center"/>
    </xf>
    <xf numFmtId="0" fontId="2" fillId="0" borderId="8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zoomScaleNormal="100" workbookViewId="0">
      <selection activeCell="B3" sqref="B3"/>
    </sheetView>
  </sheetViews>
  <sheetFormatPr defaultRowHeight="14.5" x14ac:dyDescent="0.35"/>
  <cols>
    <col min="1" max="1" width="6.54296875" customWidth="1"/>
    <col min="2" max="2" width="16.453125" style="3" customWidth="1"/>
    <col min="3" max="3" width="3" style="4" customWidth="1"/>
    <col min="4" max="4" width="16.26953125" style="3" customWidth="1"/>
    <col min="5" max="6" width="13.54296875" style="3" customWidth="1"/>
    <col min="7" max="7" width="10.7265625" style="3" customWidth="1"/>
    <col min="8" max="8" width="6.54296875" customWidth="1"/>
  </cols>
  <sheetData>
    <row r="1" spans="1:8" ht="15" customHeight="1" x14ac:dyDescent="0.45">
      <c r="A1" s="142" t="s">
        <v>125</v>
      </c>
      <c r="B1" s="142"/>
      <c r="C1" s="142"/>
      <c r="D1" s="142"/>
      <c r="E1" s="142"/>
      <c r="F1" s="142"/>
      <c r="G1" s="142"/>
      <c r="H1" s="142"/>
    </row>
    <row r="4" spans="1:8" x14ac:dyDescent="0.35">
      <c r="B4" s="49" t="s">
        <v>108</v>
      </c>
    </row>
    <row r="5" spans="1:8" x14ac:dyDescent="0.35">
      <c r="B5" s="49"/>
    </row>
    <row r="6" spans="1:8" x14ac:dyDescent="0.35">
      <c r="B6" s="3" t="s">
        <v>97</v>
      </c>
      <c r="D6" s="83" t="s">
        <v>106</v>
      </c>
    </row>
    <row r="7" spans="1:8" x14ac:dyDescent="0.35">
      <c r="B7" s="3" t="s">
        <v>105</v>
      </c>
      <c r="D7" s="83" t="s">
        <v>107</v>
      </c>
    </row>
    <row r="8" spans="1:8" x14ac:dyDescent="0.35">
      <c r="B8" s="49"/>
      <c r="C8" s="50"/>
    </row>
    <row r="10" spans="1:8" x14ac:dyDescent="0.35">
      <c r="B10" s="49" t="s">
        <v>109</v>
      </c>
    </row>
    <row r="12" spans="1:8" x14ac:dyDescent="0.35">
      <c r="B12" s="54" t="s">
        <v>98</v>
      </c>
      <c r="C12" s="5"/>
      <c r="D12" s="55" t="s">
        <v>99</v>
      </c>
      <c r="E12" s="55" t="s">
        <v>100</v>
      </c>
      <c r="F12" s="55" t="s">
        <v>101</v>
      </c>
      <c r="G12" s="56" t="s">
        <v>102</v>
      </c>
    </row>
    <row r="13" spans="1:8" x14ac:dyDescent="0.35">
      <c r="B13" s="140" t="s">
        <v>124</v>
      </c>
      <c r="C13" s="51">
        <v>1</v>
      </c>
      <c r="D13" s="11"/>
      <c r="E13" s="11"/>
      <c r="F13" s="11"/>
      <c r="G13" s="12"/>
    </row>
    <row r="14" spans="1:8" x14ac:dyDescent="0.35">
      <c r="B14" s="141"/>
      <c r="C14" s="52">
        <v>2</v>
      </c>
      <c r="D14" s="26"/>
      <c r="E14" s="26"/>
      <c r="F14" s="26"/>
      <c r="G14" s="27"/>
    </row>
    <row r="15" spans="1:8" x14ac:dyDescent="0.35">
      <c r="B15" s="140" t="s">
        <v>103</v>
      </c>
      <c r="C15" s="51">
        <v>1</v>
      </c>
      <c r="D15" s="11"/>
      <c r="E15" s="11"/>
      <c r="F15" s="11"/>
      <c r="G15" s="12"/>
    </row>
    <row r="16" spans="1:8" x14ac:dyDescent="0.35">
      <c r="B16" s="141"/>
      <c r="C16" s="52">
        <v>2</v>
      </c>
      <c r="D16" s="26"/>
      <c r="E16" s="26"/>
      <c r="F16" s="26"/>
      <c r="G16" s="27"/>
    </row>
    <row r="17" spans="2:7" x14ac:dyDescent="0.35">
      <c r="B17" s="140" t="s">
        <v>104</v>
      </c>
      <c r="C17" s="51">
        <v>1</v>
      </c>
      <c r="D17" s="11"/>
      <c r="E17" s="11"/>
      <c r="F17" s="11"/>
      <c r="G17" s="12"/>
    </row>
    <row r="18" spans="2:7" x14ac:dyDescent="0.35">
      <c r="B18" s="141"/>
      <c r="C18" s="52">
        <v>2</v>
      </c>
      <c r="D18" s="26"/>
      <c r="E18" s="26"/>
      <c r="F18" s="26"/>
      <c r="G18" s="27"/>
    </row>
    <row r="21" spans="2:7" x14ac:dyDescent="0.35">
      <c r="B21" s="49" t="s">
        <v>110</v>
      </c>
      <c r="G21" s="49"/>
    </row>
    <row r="23" spans="2:7" x14ac:dyDescent="0.35">
      <c r="C23" s="50"/>
      <c r="D23" s="54" t="s">
        <v>134</v>
      </c>
      <c r="E23" s="55" t="s">
        <v>99</v>
      </c>
      <c r="F23" s="56" t="s">
        <v>100</v>
      </c>
    </row>
    <row r="24" spans="2:7" x14ac:dyDescent="0.35">
      <c r="C24" s="9">
        <v>1</v>
      </c>
      <c r="D24" s="10" t="s">
        <v>111</v>
      </c>
      <c r="E24" s="11"/>
      <c r="F24" s="12"/>
    </row>
    <row r="25" spans="2:7" x14ac:dyDescent="0.35">
      <c r="C25" s="18">
        <v>2</v>
      </c>
      <c r="D25" s="19" t="s">
        <v>129</v>
      </c>
      <c r="F25" s="20"/>
    </row>
    <row r="26" spans="2:7" x14ac:dyDescent="0.35">
      <c r="C26" s="18">
        <v>3</v>
      </c>
      <c r="D26" s="19" t="s">
        <v>146</v>
      </c>
      <c r="F26" s="20"/>
    </row>
    <row r="27" spans="2:7" x14ac:dyDescent="0.35">
      <c r="C27" s="18">
        <v>4</v>
      </c>
      <c r="D27" s="19" t="s">
        <v>130</v>
      </c>
      <c r="F27" s="20"/>
    </row>
    <row r="28" spans="2:7" x14ac:dyDescent="0.35">
      <c r="C28" s="18">
        <v>5</v>
      </c>
      <c r="D28" s="3" t="s">
        <v>148</v>
      </c>
      <c r="F28" s="20"/>
    </row>
    <row r="29" spans="2:7" x14ac:dyDescent="0.35">
      <c r="C29" s="18">
        <v>6</v>
      </c>
      <c r="D29" s="77" t="s">
        <v>147</v>
      </c>
      <c r="F29" s="20"/>
    </row>
    <row r="30" spans="2:7" x14ac:dyDescent="0.35">
      <c r="C30" s="18">
        <v>7</v>
      </c>
      <c r="D30" s="19"/>
      <c r="F30" s="20"/>
    </row>
    <row r="31" spans="2:7" x14ac:dyDescent="0.35">
      <c r="C31" s="18">
        <v>8</v>
      </c>
      <c r="D31" s="19"/>
      <c r="F31" s="20"/>
    </row>
    <row r="32" spans="2:7" x14ac:dyDescent="0.35">
      <c r="C32" s="18">
        <v>9</v>
      </c>
      <c r="D32" s="19"/>
      <c r="F32" s="20"/>
    </row>
    <row r="33" spans="3:6" x14ac:dyDescent="0.35">
      <c r="C33" s="18">
        <v>10</v>
      </c>
      <c r="D33" s="19"/>
      <c r="F33" s="20"/>
    </row>
    <row r="34" spans="3:6" x14ac:dyDescent="0.35">
      <c r="C34" s="18">
        <v>11</v>
      </c>
      <c r="D34" s="19"/>
      <c r="F34" s="20"/>
    </row>
    <row r="35" spans="3:6" x14ac:dyDescent="0.35">
      <c r="C35" s="18">
        <v>12</v>
      </c>
      <c r="D35" s="19"/>
      <c r="F35" s="20"/>
    </row>
    <row r="36" spans="3:6" x14ac:dyDescent="0.35">
      <c r="C36" s="24">
        <v>13</v>
      </c>
      <c r="D36" s="25"/>
      <c r="E36" s="26"/>
      <c r="F36" s="27"/>
    </row>
  </sheetData>
  <mergeCells count="4">
    <mergeCell ref="B13:B14"/>
    <mergeCell ref="B15:B16"/>
    <mergeCell ref="B17:B18"/>
    <mergeCell ref="A1:H1"/>
  </mergeCells>
  <pageMargins left="0.7" right="0.7" top="0.75" bottom="0.75" header="0.3" footer="0.3"/>
  <pageSetup paperSize="9" orientation="portrait" r:id="rId1"/>
  <headerFooter>
    <oddHeader>&amp;CMF1024 Produktutveckling VT2019&amp;R&amp;D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39"/>
  <sheetViews>
    <sheetView zoomScale="75" zoomScaleNormal="75" zoomScalePageLayoutView="75" workbookViewId="0">
      <selection activeCell="BM32" sqref="BM32"/>
    </sheetView>
  </sheetViews>
  <sheetFormatPr defaultRowHeight="14.5" x14ac:dyDescent="0.35"/>
  <cols>
    <col min="1" max="1" width="4" style="2" customWidth="1"/>
    <col min="2" max="2" width="37.54296875" style="3" customWidth="1"/>
    <col min="3" max="3" width="6.81640625" style="4" customWidth="1"/>
    <col min="4" max="58" width="1.7265625" style="3" customWidth="1"/>
    <col min="59" max="64" width="8.7265625" style="4" customWidth="1"/>
    <col min="65" max="66" width="8.7265625" style="3" customWidth="1"/>
  </cols>
  <sheetData>
    <row r="1" spans="1:67" ht="18.5" x14ac:dyDescent="0.45">
      <c r="A1" s="142" t="s">
        <v>122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53"/>
    </row>
    <row r="3" spans="1:67" x14ac:dyDescent="0.35">
      <c r="BG3" s="143" t="s">
        <v>86</v>
      </c>
      <c r="BH3" s="144"/>
      <c r="BI3" s="144"/>
      <c r="BJ3" s="144"/>
      <c r="BK3" s="144"/>
      <c r="BL3" s="144"/>
      <c r="BM3" s="145"/>
      <c r="BN3" s="9" t="s">
        <v>95</v>
      </c>
    </row>
    <row r="4" spans="1:67" x14ac:dyDescent="0.35">
      <c r="C4" s="6" t="s">
        <v>30</v>
      </c>
      <c r="D4" s="143" t="s">
        <v>149</v>
      </c>
      <c r="E4" s="144"/>
      <c r="F4" s="144"/>
      <c r="G4" s="144"/>
      <c r="H4" s="145"/>
      <c r="I4" s="143" t="s">
        <v>150</v>
      </c>
      <c r="J4" s="144"/>
      <c r="K4" s="144"/>
      <c r="L4" s="144"/>
      <c r="M4" s="145"/>
      <c r="N4" s="143" t="s">
        <v>151</v>
      </c>
      <c r="O4" s="144"/>
      <c r="P4" s="144"/>
      <c r="Q4" s="144"/>
      <c r="R4" s="145"/>
      <c r="S4" s="143" t="s">
        <v>152</v>
      </c>
      <c r="T4" s="144"/>
      <c r="U4" s="144"/>
      <c r="V4" s="144"/>
      <c r="W4" s="144"/>
      <c r="X4" s="143" t="s">
        <v>153</v>
      </c>
      <c r="Y4" s="144"/>
      <c r="Z4" s="144"/>
      <c r="AA4" s="144"/>
      <c r="AB4" s="145"/>
      <c r="AC4" s="144" t="s">
        <v>154</v>
      </c>
      <c r="AD4" s="144"/>
      <c r="AE4" s="144"/>
      <c r="AF4" s="144"/>
      <c r="AG4" s="145"/>
      <c r="AH4" s="143" t="s">
        <v>156</v>
      </c>
      <c r="AI4" s="144"/>
      <c r="AJ4" s="144"/>
      <c r="AK4" s="144"/>
      <c r="AL4" s="145"/>
      <c r="AM4" s="143" t="s">
        <v>157</v>
      </c>
      <c r="AN4" s="144"/>
      <c r="AO4" s="144"/>
      <c r="AP4" s="144"/>
      <c r="AQ4" s="145"/>
      <c r="AR4" s="143" t="s">
        <v>158</v>
      </c>
      <c r="AS4" s="144"/>
      <c r="AT4" s="144"/>
      <c r="AU4" s="144"/>
      <c r="AV4" s="145"/>
      <c r="AW4" s="143" t="s">
        <v>159</v>
      </c>
      <c r="AX4" s="144"/>
      <c r="AY4" s="144"/>
      <c r="AZ4" s="144"/>
      <c r="BA4" s="145"/>
      <c r="BB4" s="143" t="s">
        <v>160</v>
      </c>
      <c r="BC4" s="144"/>
      <c r="BD4" s="144"/>
      <c r="BE4" s="144"/>
      <c r="BF4" s="145"/>
      <c r="BG4" s="78" t="s">
        <v>62</v>
      </c>
      <c r="BH4" s="78" t="s">
        <v>63</v>
      </c>
      <c r="BI4" s="78" t="s">
        <v>64</v>
      </c>
      <c r="BJ4" s="78" t="s">
        <v>65</v>
      </c>
      <c r="BK4" s="78" t="s">
        <v>66</v>
      </c>
      <c r="BL4" s="6" t="s">
        <v>67</v>
      </c>
      <c r="BM4" s="6" t="s">
        <v>29</v>
      </c>
      <c r="BN4" s="24" t="s">
        <v>96</v>
      </c>
    </row>
    <row r="5" spans="1:67" x14ac:dyDescent="0.35">
      <c r="A5" s="7">
        <v>1</v>
      </c>
      <c r="B5" s="8" t="s">
        <v>25</v>
      </c>
      <c r="C5" s="9"/>
      <c r="D5" s="10"/>
      <c r="E5" s="11"/>
      <c r="F5" s="11"/>
      <c r="G5" s="11"/>
      <c r="H5" s="12"/>
      <c r="I5" s="10"/>
      <c r="J5" s="11"/>
      <c r="K5" s="11"/>
      <c r="L5" s="11"/>
      <c r="M5" s="12"/>
      <c r="N5" s="10"/>
      <c r="O5" s="11"/>
      <c r="P5" s="11"/>
      <c r="Q5" s="11"/>
      <c r="R5" s="12"/>
      <c r="S5" s="10"/>
      <c r="T5" s="11"/>
      <c r="U5" s="11"/>
      <c r="V5" s="11"/>
      <c r="W5" s="11"/>
      <c r="X5" s="10"/>
      <c r="Y5" s="11"/>
      <c r="Z5" s="11"/>
      <c r="AA5" s="11"/>
      <c r="AB5" s="12"/>
      <c r="AC5" s="11"/>
      <c r="AD5" s="11"/>
      <c r="AE5" s="11"/>
      <c r="AF5" s="11"/>
      <c r="AG5" s="12"/>
      <c r="AH5" s="10"/>
      <c r="AI5" s="11"/>
      <c r="AJ5" s="11"/>
      <c r="AK5" s="11"/>
      <c r="AL5" s="12"/>
      <c r="AM5" s="10"/>
      <c r="AN5" s="11"/>
      <c r="AO5" s="11"/>
      <c r="AP5" s="11"/>
      <c r="AQ5" s="12"/>
      <c r="AR5" s="11"/>
      <c r="AS5" s="11"/>
      <c r="AT5" s="11"/>
      <c r="AU5" s="11"/>
      <c r="AV5" s="12"/>
      <c r="AW5" s="10"/>
      <c r="AX5" s="11"/>
      <c r="AY5" s="11"/>
      <c r="AZ5" s="11"/>
      <c r="BA5" s="12"/>
      <c r="BB5" s="10"/>
      <c r="BC5" s="11"/>
      <c r="BD5" s="11"/>
      <c r="BE5" s="11"/>
      <c r="BF5" s="12"/>
      <c r="BG5" s="13">
        <f>SUM(BG6:BG7)</f>
        <v>4</v>
      </c>
      <c r="BH5" s="13">
        <f t="shared" ref="BH5:BM5" si="0">SUM(BH6:BH7)</f>
        <v>4</v>
      </c>
      <c r="BI5" s="13">
        <f t="shared" si="0"/>
        <v>4</v>
      </c>
      <c r="BJ5" s="13">
        <f t="shared" si="0"/>
        <v>4</v>
      </c>
      <c r="BK5" s="13">
        <f t="shared" si="0"/>
        <v>4</v>
      </c>
      <c r="BL5" s="13">
        <f t="shared" si="0"/>
        <v>4</v>
      </c>
      <c r="BM5" s="14">
        <f t="shared" si="0"/>
        <v>24</v>
      </c>
      <c r="BN5" s="15">
        <f>8*6</f>
        <v>48</v>
      </c>
    </row>
    <row r="6" spans="1:67" x14ac:dyDescent="0.35">
      <c r="A6" s="16" t="s">
        <v>7</v>
      </c>
      <c r="B6" s="17" t="s">
        <v>0</v>
      </c>
      <c r="C6" s="18" t="s">
        <v>54</v>
      </c>
      <c r="D6" s="119"/>
      <c r="E6" s="120"/>
      <c r="F6" s="120"/>
      <c r="G6" s="120"/>
      <c r="H6" s="121"/>
      <c r="I6" s="122"/>
      <c r="J6" s="123"/>
      <c r="M6" s="20"/>
      <c r="N6" s="19"/>
      <c r="R6" s="20"/>
      <c r="S6" s="123"/>
      <c r="X6" s="19"/>
      <c r="AB6" s="20"/>
      <c r="AC6" s="123"/>
      <c r="AG6" s="20"/>
      <c r="AH6" s="19"/>
      <c r="AL6" s="20"/>
      <c r="AM6" s="123"/>
      <c r="AQ6" s="20"/>
      <c r="AV6" s="20"/>
      <c r="BB6" s="19"/>
      <c r="BF6" s="20"/>
      <c r="BG6" s="18">
        <v>2</v>
      </c>
      <c r="BH6" s="18">
        <v>2</v>
      </c>
      <c r="BI6" s="18">
        <v>2</v>
      </c>
      <c r="BJ6" s="18">
        <v>2</v>
      </c>
      <c r="BK6" s="18">
        <v>2</v>
      </c>
      <c r="BL6" s="18">
        <v>2</v>
      </c>
      <c r="BM6" s="21">
        <f>SUM(BG6:BL6)</f>
        <v>12</v>
      </c>
      <c r="BN6" s="22"/>
    </row>
    <row r="7" spans="1:67" x14ac:dyDescent="0.35">
      <c r="A7" s="23" t="s">
        <v>8</v>
      </c>
      <c r="B7" s="17" t="s">
        <v>1</v>
      </c>
      <c r="C7" s="24" t="s">
        <v>54</v>
      </c>
      <c r="D7" s="124"/>
      <c r="E7" s="125"/>
      <c r="F7" s="125"/>
      <c r="G7" s="125"/>
      <c r="H7" s="126"/>
      <c r="I7" s="124"/>
      <c r="J7" s="125"/>
      <c r="K7" s="26"/>
      <c r="L7" s="26"/>
      <c r="M7" s="27"/>
      <c r="N7" s="25"/>
      <c r="O7" s="26"/>
      <c r="P7" s="26"/>
      <c r="Q7" s="26"/>
      <c r="R7" s="27"/>
      <c r="S7" s="125"/>
      <c r="T7" s="26"/>
      <c r="U7" s="26"/>
      <c r="V7" s="26"/>
      <c r="W7" s="26"/>
      <c r="X7" s="25"/>
      <c r="Y7" s="26"/>
      <c r="Z7" s="26"/>
      <c r="AA7" s="26"/>
      <c r="AB7" s="27"/>
      <c r="AC7" s="125"/>
      <c r="AD7" s="26"/>
      <c r="AE7" s="26"/>
      <c r="AF7" s="26"/>
      <c r="AG7" s="27"/>
      <c r="AH7" s="25"/>
      <c r="AI7" s="26"/>
      <c r="AJ7" s="26"/>
      <c r="AK7" s="26"/>
      <c r="AL7" s="27"/>
      <c r="AM7" s="125"/>
      <c r="AN7" s="26"/>
      <c r="AO7" s="26"/>
      <c r="AP7" s="26"/>
      <c r="AQ7" s="27"/>
      <c r="AR7" s="26"/>
      <c r="AS7" s="26"/>
      <c r="AT7" s="26"/>
      <c r="AU7" s="26"/>
      <c r="AV7" s="27"/>
      <c r="AW7" s="26"/>
      <c r="AX7" s="26"/>
      <c r="AY7" s="26"/>
      <c r="AZ7" s="26"/>
      <c r="BA7" s="26"/>
      <c r="BB7" s="25"/>
      <c r="BC7" s="26"/>
      <c r="BD7" s="26"/>
      <c r="BE7" s="26"/>
      <c r="BF7" s="27"/>
      <c r="BG7" s="24">
        <v>2</v>
      </c>
      <c r="BH7" s="24">
        <v>2</v>
      </c>
      <c r="BI7" s="24">
        <v>2</v>
      </c>
      <c r="BJ7" s="24">
        <v>2</v>
      </c>
      <c r="BK7" s="24">
        <v>2</v>
      </c>
      <c r="BL7" s="24">
        <v>2</v>
      </c>
      <c r="BM7" s="21">
        <f t="shared" ref="BM7:BM29" si="1">SUM(BG7:BL7)</f>
        <v>12</v>
      </c>
      <c r="BN7" s="22"/>
    </row>
    <row r="8" spans="1:67" x14ac:dyDescent="0.35">
      <c r="A8" s="7">
        <v>2</v>
      </c>
      <c r="B8" s="8" t="s">
        <v>31</v>
      </c>
      <c r="C8" s="28"/>
      <c r="D8" s="19"/>
      <c r="H8" s="20"/>
      <c r="I8" s="19"/>
      <c r="M8" s="20"/>
      <c r="N8" s="19"/>
      <c r="R8" s="20"/>
      <c r="S8" s="19"/>
      <c r="X8" s="10"/>
      <c r="Y8" s="11"/>
      <c r="Z8" s="11"/>
      <c r="AA8" s="11"/>
      <c r="AB8" s="12"/>
      <c r="AG8" s="20"/>
      <c r="AL8" s="20"/>
      <c r="AM8" s="19"/>
      <c r="AQ8" s="20"/>
      <c r="AV8" s="20"/>
      <c r="BB8" s="19"/>
      <c r="BF8" s="20"/>
      <c r="BG8" s="13">
        <f>SUM(BG9:BG12)</f>
        <v>6</v>
      </c>
      <c r="BH8" s="13">
        <f t="shared" ref="BH8:BM8" si="2">SUM(BH9:BH12)</f>
        <v>6</v>
      </c>
      <c r="BI8" s="13">
        <f t="shared" si="2"/>
        <v>6</v>
      </c>
      <c r="BJ8" s="13">
        <f t="shared" si="2"/>
        <v>6</v>
      </c>
      <c r="BK8" s="13">
        <f t="shared" si="2"/>
        <v>6</v>
      </c>
      <c r="BL8" s="13">
        <f t="shared" si="2"/>
        <v>6</v>
      </c>
      <c r="BM8" s="14">
        <f t="shared" si="2"/>
        <v>36</v>
      </c>
      <c r="BN8" s="15">
        <f>8*6</f>
        <v>48</v>
      </c>
    </row>
    <row r="9" spans="1:67" x14ac:dyDescent="0.35">
      <c r="A9" s="16" t="s">
        <v>9</v>
      </c>
      <c r="B9" s="17" t="s">
        <v>26</v>
      </c>
      <c r="C9" s="28" t="s">
        <v>54</v>
      </c>
      <c r="D9" s="127"/>
      <c r="E9" s="128"/>
      <c r="F9" s="128"/>
      <c r="G9" s="128"/>
      <c r="H9" s="129"/>
      <c r="I9" s="19"/>
      <c r="M9" s="20"/>
      <c r="N9" s="19"/>
      <c r="R9" s="20"/>
      <c r="S9" s="19"/>
      <c r="X9" s="19"/>
      <c r="AB9" s="20"/>
      <c r="AG9" s="20"/>
      <c r="AL9" s="20"/>
      <c r="AM9" s="19"/>
      <c r="AQ9" s="20"/>
      <c r="AV9" s="20"/>
      <c r="BB9" s="19"/>
      <c r="BF9" s="20"/>
      <c r="BG9" s="18">
        <v>2</v>
      </c>
      <c r="BH9" s="18">
        <v>2</v>
      </c>
      <c r="BI9" s="18">
        <v>2</v>
      </c>
      <c r="BJ9" s="18">
        <v>2</v>
      </c>
      <c r="BK9" s="18">
        <v>2</v>
      </c>
      <c r="BL9" s="18">
        <v>2</v>
      </c>
      <c r="BM9" s="21">
        <f t="shared" si="1"/>
        <v>12</v>
      </c>
      <c r="BN9" s="22"/>
    </row>
    <row r="10" spans="1:67" x14ac:dyDescent="0.35">
      <c r="A10" s="16" t="s">
        <v>10</v>
      </c>
      <c r="B10" s="17" t="s">
        <v>123</v>
      </c>
      <c r="C10" s="28" t="s">
        <v>6</v>
      </c>
      <c r="D10" s="130"/>
      <c r="E10" s="131"/>
      <c r="F10" s="131"/>
      <c r="G10" s="131"/>
      <c r="H10" s="132"/>
      <c r="I10" s="130"/>
      <c r="J10" s="131"/>
      <c r="K10" s="131"/>
      <c r="L10" s="131"/>
      <c r="M10" s="20"/>
      <c r="N10" s="19"/>
      <c r="R10" s="20"/>
      <c r="S10" s="19"/>
      <c r="X10" s="19"/>
      <c r="AB10" s="20"/>
      <c r="AG10" s="20"/>
      <c r="AL10" s="20"/>
      <c r="AM10" s="19"/>
      <c r="AQ10" s="20"/>
      <c r="AV10" s="20"/>
      <c r="BB10" s="19"/>
      <c r="BF10" s="20"/>
      <c r="BG10" s="18">
        <v>4</v>
      </c>
      <c r="BH10" s="18">
        <v>4</v>
      </c>
      <c r="BI10" s="18"/>
      <c r="BJ10" s="18"/>
      <c r="BK10" s="18"/>
      <c r="BL10" s="18"/>
      <c r="BM10" s="21">
        <f t="shared" si="1"/>
        <v>8</v>
      </c>
      <c r="BN10" s="22"/>
    </row>
    <row r="11" spans="1:67" x14ac:dyDescent="0.35">
      <c r="A11" s="16" t="s">
        <v>11</v>
      </c>
      <c r="B11" s="17" t="s">
        <v>22</v>
      </c>
      <c r="C11" s="28" t="s">
        <v>5</v>
      </c>
      <c r="D11" s="133"/>
      <c r="E11" s="134"/>
      <c r="F11" s="134"/>
      <c r="G11" s="134"/>
      <c r="H11" s="135"/>
      <c r="I11" s="133"/>
      <c r="J11" s="134"/>
      <c r="K11" s="134"/>
      <c r="L11" s="134"/>
      <c r="M11" s="20"/>
      <c r="N11" s="19"/>
      <c r="R11" s="20"/>
      <c r="S11" s="19"/>
      <c r="X11" s="19"/>
      <c r="AB11" s="20"/>
      <c r="AG11" s="20"/>
      <c r="AL11" s="20"/>
      <c r="AM11" s="19"/>
      <c r="AQ11" s="20"/>
      <c r="AV11" s="20"/>
      <c r="BB11" s="19"/>
      <c r="BF11" s="20"/>
      <c r="BG11" s="18"/>
      <c r="BH11" s="18"/>
      <c r="BI11" s="18">
        <v>4</v>
      </c>
      <c r="BJ11" s="18">
        <v>4</v>
      </c>
      <c r="BK11" s="18"/>
      <c r="BL11" s="18"/>
      <c r="BM11" s="21">
        <f t="shared" si="1"/>
        <v>8</v>
      </c>
      <c r="BN11" s="22"/>
    </row>
    <row r="12" spans="1:67" x14ac:dyDescent="0.35">
      <c r="A12" s="23" t="s">
        <v>28</v>
      </c>
      <c r="B12" s="29" t="s">
        <v>37</v>
      </c>
      <c r="C12" s="30" t="s">
        <v>27</v>
      </c>
      <c r="D12" s="136"/>
      <c r="E12" s="137"/>
      <c r="F12" s="137"/>
      <c r="G12" s="137"/>
      <c r="H12" s="138"/>
      <c r="I12" s="136"/>
      <c r="J12" s="137"/>
      <c r="K12" s="137"/>
      <c r="L12" s="137"/>
      <c r="M12" s="27"/>
      <c r="N12" s="25"/>
      <c r="O12" s="26"/>
      <c r="P12" s="26"/>
      <c r="Q12" s="26"/>
      <c r="R12" s="27"/>
      <c r="S12" s="25"/>
      <c r="T12" s="26"/>
      <c r="U12" s="26"/>
      <c r="V12" s="26"/>
      <c r="W12" s="26"/>
      <c r="X12" s="25"/>
      <c r="Y12" s="26"/>
      <c r="Z12" s="26"/>
      <c r="AA12" s="26"/>
      <c r="AB12" s="27"/>
      <c r="AC12" s="26"/>
      <c r="AD12" s="26"/>
      <c r="AE12" s="26"/>
      <c r="AF12" s="26"/>
      <c r="AG12" s="27"/>
      <c r="AH12" s="26"/>
      <c r="AI12" s="26"/>
      <c r="AJ12" s="26"/>
      <c r="AK12" s="26"/>
      <c r="AL12" s="27"/>
      <c r="AM12" s="25"/>
      <c r="AN12" s="26"/>
      <c r="AO12" s="26"/>
      <c r="AP12" s="26"/>
      <c r="AQ12" s="27"/>
      <c r="AR12" s="26"/>
      <c r="AS12" s="26"/>
      <c r="AT12" s="26"/>
      <c r="AU12" s="26"/>
      <c r="AV12" s="27"/>
      <c r="AW12" s="26"/>
      <c r="AX12" s="26"/>
      <c r="AY12" s="26"/>
      <c r="AZ12" s="26"/>
      <c r="BA12" s="26"/>
      <c r="BB12" s="25"/>
      <c r="BC12" s="26"/>
      <c r="BD12" s="26"/>
      <c r="BE12" s="26"/>
      <c r="BF12" s="27"/>
      <c r="BG12" s="24"/>
      <c r="BH12" s="24"/>
      <c r="BI12" s="24"/>
      <c r="BJ12" s="24"/>
      <c r="BK12" s="24">
        <v>4</v>
      </c>
      <c r="BL12" s="24">
        <v>4</v>
      </c>
      <c r="BM12" s="21">
        <f t="shared" si="1"/>
        <v>8</v>
      </c>
      <c r="BN12" s="22"/>
    </row>
    <row r="13" spans="1:67" x14ac:dyDescent="0.35">
      <c r="A13" s="7">
        <v>3</v>
      </c>
      <c r="B13" s="31" t="s">
        <v>3</v>
      </c>
      <c r="C13" s="9"/>
      <c r="D13" s="19"/>
      <c r="F13" s="11"/>
      <c r="G13" s="11"/>
      <c r="H13" s="12"/>
      <c r="I13" s="10"/>
      <c r="J13" s="11"/>
      <c r="K13" s="11"/>
      <c r="L13" s="11"/>
      <c r="M13" s="12"/>
      <c r="S13" s="10"/>
      <c r="T13" s="11"/>
      <c r="U13" s="11"/>
      <c r="V13" s="11"/>
      <c r="W13" s="11"/>
      <c r="X13" s="10"/>
      <c r="Y13" s="11"/>
      <c r="Z13" s="11"/>
      <c r="AA13" s="11"/>
      <c r="AB13" s="12"/>
      <c r="AC13" s="11"/>
      <c r="AD13" s="11"/>
      <c r="AE13" s="11"/>
      <c r="AF13" s="11"/>
      <c r="AG13" s="12"/>
      <c r="AH13" s="11"/>
      <c r="AI13" s="11"/>
      <c r="AJ13" s="11"/>
      <c r="AK13" s="11"/>
      <c r="AL13" s="12"/>
      <c r="AQ13" s="20"/>
      <c r="AR13" s="11"/>
      <c r="AS13" s="11"/>
      <c r="AT13" s="11"/>
      <c r="AU13" s="11"/>
      <c r="AV13" s="12"/>
      <c r="AW13" s="11"/>
      <c r="AX13" s="11"/>
      <c r="AY13" s="11"/>
      <c r="AZ13" s="11"/>
      <c r="BA13" s="11"/>
      <c r="BB13" s="10"/>
      <c r="BC13" s="11"/>
      <c r="BD13" s="11"/>
      <c r="BE13" s="11"/>
      <c r="BF13" s="12"/>
      <c r="BG13" s="13">
        <f>SUM(BG14:BG16)</f>
        <v>8</v>
      </c>
      <c r="BH13" s="13">
        <f t="shared" ref="BH13:BM13" si="3">SUM(BH14:BH16)</f>
        <v>8</v>
      </c>
      <c r="BI13" s="13">
        <f t="shared" si="3"/>
        <v>8</v>
      </c>
      <c r="BJ13" s="13">
        <f t="shared" si="3"/>
        <v>8</v>
      </c>
      <c r="BK13" s="13">
        <f t="shared" si="3"/>
        <v>8</v>
      </c>
      <c r="BL13" s="13">
        <f t="shared" si="3"/>
        <v>8</v>
      </c>
      <c r="BM13" s="14">
        <f t="shared" si="3"/>
        <v>48</v>
      </c>
      <c r="BN13" s="15">
        <f>SUM(BN14:BN16)</f>
        <v>48</v>
      </c>
    </row>
    <row r="14" spans="1:67" x14ac:dyDescent="0.35">
      <c r="A14" s="16" t="s">
        <v>12</v>
      </c>
      <c r="B14" s="17" t="s">
        <v>126</v>
      </c>
      <c r="C14" s="28" t="s">
        <v>6</v>
      </c>
      <c r="D14" s="19"/>
      <c r="H14" s="20"/>
      <c r="I14" s="19"/>
      <c r="M14" s="20"/>
      <c r="N14" s="110"/>
      <c r="O14" s="111"/>
      <c r="P14" s="111"/>
      <c r="Q14" s="111"/>
      <c r="R14" s="112"/>
      <c r="S14" s="110"/>
      <c r="T14" s="111"/>
      <c r="U14" s="111"/>
      <c r="V14" s="111"/>
      <c r="W14" s="111"/>
      <c r="X14" s="19"/>
      <c r="AB14" s="20"/>
      <c r="AG14" s="20"/>
      <c r="AL14" s="20"/>
      <c r="AM14" s="19"/>
      <c r="AQ14" s="20"/>
      <c r="AV14" s="20"/>
      <c r="BB14" s="19"/>
      <c r="BF14" s="20"/>
      <c r="BG14" s="18">
        <v>8</v>
      </c>
      <c r="BH14" s="18">
        <v>8</v>
      </c>
      <c r="BI14" s="18"/>
      <c r="BJ14" s="18"/>
      <c r="BK14" s="18"/>
      <c r="BL14" s="18"/>
      <c r="BM14" s="21">
        <f t="shared" si="1"/>
        <v>16</v>
      </c>
      <c r="BN14" s="22">
        <v>16</v>
      </c>
    </row>
    <row r="15" spans="1:67" x14ac:dyDescent="0.35">
      <c r="A15" s="16" t="s">
        <v>13</v>
      </c>
      <c r="B15" s="17" t="s">
        <v>55</v>
      </c>
      <c r="C15" s="28" t="s">
        <v>5</v>
      </c>
      <c r="D15" s="19"/>
      <c r="H15" s="20"/>
      <c r="I15" s="19"/>
      <c r="M15" s="20"/>
      <c r="N15" s="113"/>
      <c r="O15" s="114"/>
      <c r="P15" s="114"/>
      <c r="Q15" s="114"/>
      <c r="R15" s="115"/>
      <c r="S15" s="113"/>
      <c r="T15" s="114"/>
      <c r="U15" s="114"/>
      <c r="V15" s="114"/>
      <c r="W15" s="114"/>
      <c r="X15" s="19"/>
      <c r="AB15" s="20"/>
      <c r="AG15" s="20"/>
      <c r="AL15" s="20"/>
      <c r="AM15" s="19"/>
      <c r="AQ15" s="20"/>
      <c r="AV15" s="20"/>
      <c r="BB15" s="19"/>
      <c r="BF15" s="20"/>
      <c r="BG15" s="18"/>
      <c r="BH15" s="18"/>
      <c r="BI15" s="18">
        <v>8</v>
      </c>
      <c r="BJ15" s="18">
        <v>8</v>
      </c>
      <c r="BK15" s="18"/>
      <c r="BL15" s="18"/>
      <c r="BM15" s="21">
        <f t="shared" si="1"/>
        <v>16</v>
      </c>
      <c r="BN15" s="22">
        <v>16</v>
      </c>
    </row>
    <row r="16" spans="1:67" x14ac:dyDescent="0.35">
      <c r="A16" s="23" t="s">
        <v>14</v>
      </c>
      <c r="B16" s="29" t="s">
        <v>56</v>
      </c>
      <c r="C16" s="30" t="s">
        <v>27</v>
      </c>
      <c r="D16" s="25"/>
      <c r="E16" s="26"/>
      <c r="F16" s="26"/>
      <c r="G16" s="26"/>
      <c r="H16" s="27"/>
      <c r="I16" s="25"/>
      <c r="J16" s="26"/>
      <c r="K16" s="26"/>
      <c r="L16" s="26"/>
      <c r="M16" s="27"/>
      <c r="N16" s="116"/>
      <c r="O16" s="117"/>
      <c r="P16" s="117"/>
      <c r="Q16" s="117"/>
      <c r="R16" s="118"/>
      <c r="S16" s="116"/>
      <c r="T16" s="117"/>
      <c r="U16" s="117"/>
      <c r="V16" s="117"/>
      <c r="W16" s="117"/>
      <c r="X16" s="25"/>
      <c r="Y16" s="26"/>
      <c r="Z16" s="26"/>
      <c r="AA16" s="26"/>
      <c r="AB16" s="27"/>
      <c r="AC16" s="26"/>
      <c r="AD16" s="26"/>
      <c r="AE16" s="26"/>
      <c r="AF16" s="26"/>
      <c r="AG16" s="27"/>
      <c r="AH16" s="26"/>
      <c r="AI16" s="26"/>
      <c r="AJ16" s="26"/>
      <c r="AK16" s="26"/>
      <c r="AL16" s="27"/>
      <c r="AM16" s="25"/>
      <c r="AN16" s="26"/>
      <c r="AO16" s="26"/>
      <c r="AP16" s="26"/>
      <c r="AQ16" s="27"/>
      <c r="AR16" s="26"/>
      <c r="AS16" s="26"/>
      <c r="AT16" s="26"/>
      <c r="AU16" s="26"/>
      <c r="AV16" s="27"/>
      <c r="AW16" s="26"/>
      <c r="AX16" s="26"/>
      <c r="AY16" s="26"/>
      <c r="AZ16" s="26"/>
      <c r="BA16" s="26"/>
      <c r="BB16" s="25"/>
      <c r="BC16" s="26"/>
      <c r="BD16" s="26"/>
      <c r="BE16" s="26"/>
      <c r="BF16" s="27"/>
      <c r="BG16" s="24"/>
      <c r="BH16" s="24"/>
      <c r="BI16" s="24"/>
      <c r="BJ16" s="24"/>
      <c r="BK16" s="24">
        <v>8</v>
      </c>
      <c r="BL16" s="24">
        <v>8</v>
      </c>
      <c r="BM16" s="21">
        <f t="shared" si="1"/>
        <v>16</v>
      </c>
      <c r="BN16" s="22">
        <v>16</v>
      </c>
    </row>
    <row r="17" spans="1:75" x14ac:dyDescent="0.35">
      <c r="A17" s="7">
        <v>4</v>
      </c>
      <c r="B17" s="31" t="s">
        <v>135</v>
      </c>
      <c r="C17" s="9"/>
      <c r="D17" s="10"/>
      <c r="E17" s="11"/>
      <c r="F17" s="11"/>
      <c r="G17" s="11"/>
      <c r="H17" s="12"/>
      <c r="I17" s="10"/>
      <c r="J17" s="11"/>
      <c r="K17" s="11"/>
      <c r="L17" s="11"/>
      <c r="M17" s="12"/>
      <c r="N17" s="10"/>
      <c r="O17" s="11"/>
      <c r="P17" s="11"/>
      <c r="Q17" s="11"/>
      <c r="R17" s="12"/>
      <c r="S17" s="10"/>
      <c r="T17" s="11"/>
      <c r="U17" s="11"/>
      <c r="V17" s="11"/>
      <c r="W17" s="11"/>
      <c r="X17" s="10"/>
      <c r="Y17" s="11"/>
      <c r="Z17" s="11"/>
      <c r="AA17" s="11"/>
      <c r="AB17" s="12"/>
      <c r="AC17" s="11"/>
      <c r="AD17" s="11"/>
      <c r="AE17" s="11"/>
      <c r="AF17" s="11"/>
      <c r="AG17" s="12"/>
      <c r="AH17" s="11"/>
      <c r="AI17" s="11"/>
      <c r="AJ17" s="11"/>
      <c r="AK17" s="11"/>
      <c r="AL17" s="12"/>
      <c r="AM17" s="10"/>
      <c r="AN17" s="11"/>
      <c r="AO17" s="11"/>
      <c r="AP17" s="11"/>
      <c r="AQ17" s="12"/>
      <c r="AR17" s="11"/>
      <c r="AS17" s="11"/>
      <c r="AT17" s="11"/>
      <c r="AU17" s="11"/>
      <c r="AV17" s="12"/>
      <c r="AW17" s="10"/>
      <c r="AX17" s="11"/>
      <c r="AY17" s="11"/>
      <c r="AZ17" s="11"/>
      <c r="BA17" s="12"/>
      <c r="BB17" s="10"/>
      <c r="BC17" s="11"/>
      <c r="BD17" s="11"/>
      <c r="BE17" s="11"/>
      <c r="BF17" s="12"/>
      <c r="BG17" s="13">
        <f>SUM(BG18:BG20)</f>
        <v>16</v>
      </c>
      <c r="BH17" s="13">
        <f t="shared" ref="BH17:BM17" si="4">SUM(BH18:BH20)</f>
        <v>16</v>
      </c>
      <c r="BI17" s="13">
        <f t="shared" si="4"/>
        <v>16</v>
      </c>
      <c r="BJ17" s="13">
        <f t="shared" si="4"/>
        <v>16</v>
      </c>
      <c r="BK17" s="13">
        <f t="shared" si="4"/>
        <v>16</v>
      </c>
      <c r="BL17" s="13">
        <f t="shared" si="4"/>
        <v>16</v>
      </c>
      <c r="BM17" s="14">
        <f t="shared" si="4"/>
        <v>96</v>
      </c>
      <c r="BN17" s="15">
        <f>6*16</f>
        <v>96</v>
      </c>
    </row>
    <row r="18" spans="1:75" x14ac:dyDescent="0.35">
      <c r="A18" s="16" t="s">
        <v>15</v>
      </c>
      <c r="B18" s="17" t="s">
        <v>42</v>
      </c>
      <c r="C18" s="28" t="s">
        <v>54</v>
      </c>
      <c r="D18" s="19"/>
      <c r="H18" s="20"/>
      <c r="I18" s="19"/>
      <c r="M18" s="20"/>
      <c r="N18" s="84"/>
      <c r="O18" s="85"/>
      <c r="P18" s="85"/>
      <c r="Q18" s="85"/>
      <c r="R18" s="86"/>
      <c r="S18" s="84"/>
      <c r="T18" s="85"/>
      <c r="U18" s="85"/>
      <c r="V18" s="85"/>
      <c r="W18" s="85"/>
      <c r="X18" s="19"/>
      <c r="AB18" s="20"/>
      <c r="AG18" s="20"/>
      <c r="AL18" s="20"/>
      <c r="AM18" s="19"/>
      <c r="AQ18" s="20"/>
      <c r="AV18" s="20"/>
      <c r="AW18" s="19"/>
      <c r="BA18" s="20"/>
      <c r="BB18" s="19"/>
      <c r="BF18" s="20"/>
      <c r="BG18" s="18">
        <v>4</v>
      </c>
      <c r="BH18" s="18">
        <v>4</v>
      </c>
      <c r="BI18" s="18">
        <v>4</v>
      </c>
      <c r="BJ18" s="18">
        <v>4</v>
      </c>
      <c r="BK18" s="18">
        <v>4</v>
      </c>
      <c r="BL18" s="18">
        <v>4</v>
      </c>
      <c r="BM18" s="21">
        <f t="shared" si="1"/>
        <v>24</v>
      </c>
      <c r="BN18" s="22">
        <f t="shared" ref="BN18:BN20" si="5">6*16</f>
        <v>96</v>
      </c>
    </row>
    <row r="19" spans="1:75" x14ac:dyDescent="0.35">
      <c r="A19" s="16" t="s">
        <v>15</v>
      </c>
      <c r="B19" s="17" t="s">
        <v>88</v>
      </c>
      <c r="C19" s="28" t="s">
        <v>54</v>
      </c>
      <c r="D19" s="19"/>
      <c r="H19" s="20"/>
      <c r="I19" s="19"/>
      <c r="M19" s="20"/>
      <c r="N19" s="19"/>
      <c r="R19" s="20"/>
      <c r="S19" s="19"/>
      <c r="U19" s="87"/>
      <c r="V19" s="87"/>
      <c r="W19" s="87"/>
      <c r="X19" s="88"/>
      <c r="Y19" s="87"/>
      <c r="Z19" s="87"/>
      <c r="AA19" s="87"/>
      <c r="AB19" s="89"/>
      <c r="AC19" s="87"/>
      <c r="AD19" s="87"/>
      <c r="AE19" s="87"/>
      <c r="AF19" s="87"/>
      <c r="AG19" s="89"/>
      <c r="AH19" s="87"/>
      <c r="AI19" s="87"/>
      <c r="AJ19" s="87"/>
      <c r="AK19" s="87"/>
      <c r="AL19" s="89"/>
      <c r="AM19" s="88"/>
      <c r="AN19" s="87"/>
      <c r="AO19" s="87"/>
      <c r="AP19" s="87"/>
      <c r="AQ19" s="89"/>
      <c r="AV19" s="20"/>
      <c r="AW19" s="19"/>
      <c r="BA19" s="20"/>
      <c r="BB19" s="19"/>
      <c r="BF19" s="20"/>
      <c r="BG19" s="32">
        <v>8</v>
      </c>
      <c r="BH19" s="32">
        <v>8</v>
      </c>
      <c r="BI19" s="32">
        <v>8</v>
      </c>
      <c r="BJ19" s="32">
        <v>8</v>
      </c>
      <c r="BK19" s="32">
        <v>8</v>
      </c>
      <c r="BL19" s="32">
        <v>8</v>
      </c>
      <c r="BM19" s="21">
        <f t="shared" si="1"/>
        <v>48</v>
      </c>
      <c r="BN19" s="22">
        <f t="shared" si="5"/>
        <v>96</v>
      </c>
    </row>
    <row r="20" spans="1:75" x14ac:dyDescent="0.35">
      <c r="A20" s="23" t="s">
        <v>16</v>
      </c>
      <c r="B20" s="29" t="s">
        <v>24</v>
      </c>
      <c r="C20" s="30" t="s">
        <v>54</v>
      </c>
      <c r="D20" s="25"/>
      <c r="E20" s="26"/>
      <c r="F20" s="26"/>
      <c r="G20" s="26"/>
      <c r="H20" s="27"/>
      <c r="I20" s="25"/>
      <c r="J20" s="26"/>
      <c r="K20" s="26"/>
      <c r="L20" s="26"/>
      <c r="M20" s="27"/>
      <c r="N20" s="25"/>
      <c r="O20" s="26"/>
      <c r="P20" s="26"/>
      <c r="Q20" s="26"/>
      <c r="R20" s="27"/>
      <c r="S20" s="25"/>
      <c r="T20" s="26"/>
      <c r="U20" s="26"/>
      <c r="V20" s="26"/>
      <c r="W20" s="26"/>
      <c r="X20" s="90"/>
      <c r="Y20" s="91"/>
      <c r="Z20" s="91"/>
      <c r="AA20" s="91"/>
      <c r="AB20" s="92"/>
      <c r="AC20" s="91"/>
      <c r="AD20" s="91"/>
      <c r="AE20" s="91"/>
      <c r="AF20" s="91"/>
      <c r="AG20" s="92"/>
      <c r="AH20" s="91"/>
      <c r="AI20" s="91"/>
      <c r="AJ20" s="91"/>
      <c r="AK20" s="91"/>
      <c r="AL20" s="92"/>
      <c r="AM20" s="90"/>
      <c r="AN20" s="91"/>
      <c r="AO20" s="91"/>
      <c r="AP20" s="91"/>
      <c r="AQ20" s="92"/>
      <c r="AR20" s="26"/>
      <c r="AS20" s="26"/>
      <c r="AT20" s="26"/>
      <c r="AU20" s="26"/>
      <c r="AV20" s="27"/>
      <c r="AW20" s="25"/>
      <c r="AX20" s="26"/>
      <c r="AY20" s="26"/>
      <c r="AZ20" s="26"/>
      <c r="BA20" s="27"/>
      <c r="BB20" s="25"/>
      <c r="BC20" s="26"/>
      <c r="BD20" s="26"/>
      <c r="BE20" s="26"/>
      <c r="BF20" s="27"/>
      <c r="BG20" s="33">
        <v>4</v>
      </c>
      <c r="BH20" s="33">
        <v>4</v>
      </c>
      <c r="BI20" s="33">
        <v>4</v>
      </c>
      <c r="BJ20" s="33">
        <v>4</v>
      </c>
      <c r="BK20" s="33">
        <v>4</v>
      </c>
      <c r="BL20" s="33">
        <v>4</v>
      </c>
      <c r="BM20" s="21">
        <f t="shared" si="1"/>
        <v>24</v>
      </c>
      <c r="BN20" s="22">
        <f t="shared" si="5"/>
        <v>96</v>
      </c>
    </row>
    <row r="21" spans="1:75" x14ac:dyDescent="0.35">
      <c r="A21" s="7">
        <v>5</v>
      </c>
      <c r="B21" s="8" t="s">
        <v>32</v>
      </c>
      <c r="C21" s="9"/>
      <c r="D21" s="10"/>
      <c r="E21" s="11"/>
      <c r="F21" s="11"/>
      <c r="G21" s="11"/>
      <c r="H21" s="12"/>
      <c r="I21" s="10"/>
      <c r="J21" s="11"/>
      <c r="K21" s="11"/>
      <c r="L21" s="11"/>
      <c r="M21" s="12"/>
      <c r="N21" s="10"/>
      <c r="O21" s="11"/>
      <c r="P21" s="11"/>
      <c r="Q21" s="11"/>
      <c r="R21" s="12"/>
      <c r="S21" s="10"/>
      <c r="T21" s="11"/>
      <c r="U21" s="11"/>
      <c r="V21" s="11"/>
      <c r="W21" s="11"/>
      <c r="X21" s="10"/>
      <c r="Y21" s="11"/>
      <c r="Z21" s="11"/>
      <c r="AA21" s="11"/>
      <c r="AB21" s="12"/>
      <c r="AC21" s="11"/>
      <c r="AD21" s="11"/>
      <c r="AE21" s="11"/>
      <c r="AF21" s="11"/>
      <c r="AG21" s="12"/>
      <c r="AH21" s="11"/>
      <c r="AI21" s="11"/>
      <c r="AJ21" s="11"/>
      <c r="AK21" s="11"/>
      <c r="AL21" s="12"/>
      <c r="AM21" s="10"/>
      <c r="AN21" s="11"/>
      <c r="AO21" s="11"/>
      <c r="AP21" s="11"/>
      <c r="AQ21" s="12"/>
      <c r="AR21" s="11"/>
      <c r="AS21" s="11"/>
      <c r="AT21" s="11"/>
      <c r="AU21" s="11"/>
      <c r="AV21" s="12"/>
      <c r="AW21" s="11"/>
      <c r="AX21" s="11"/>
      <c r="AY21" s="11"/>
      <c r="AZ21" s="11"/>
      <c r="BA21" s="11"/>
      <c r="BB21" s="10"/>
      <c r="BC21" s="11"/>
      <c r="BD21" s="11"/>
      <c r="BE21" s="11"/>
      <c r="BF21" s="12"/>
      <c r="BG21" s="13">
        <f>SUM(BG22:BG24)</f>
        <v>48</v>
      </c>
      <c r="BH21" s="13">
        <f t="shared" ref="BH21:BM21" si="6">SUM(BH22:BH24)</f>
        <v>48</v>
      </c>
      <c r="BI21" s="13">
        <f t="shared" si="6"/>
        <v>48</v>
      </c>
      <c r="BJ21" s="13">
        <f t="shared" si="6"/>
        <v>48</v>
      </c>
      <c r="BK21" s="13">
        <f t="shared" si="6"/>
        <v>48</v>
      </c>
      <c r="BL21" s="13">
        <f t="shared" si="6"/>
        <v>48</v>
      </c>
      <c r="BM21" s="14">
        <f t="shared" si="6"/>
        <v>288</v>
      </c>
      <c r="BN21" s="15">
        <f>6*56</f>
        <v>336</v>
      </c>
    </row>
    <row r="22" spans="1:75" x14ac:dyDescent="0.35">
      <c r="A22" s="16" t="s">
        <v>18</v>
      </c>
      <c r="B22" s="17" t="s">
        <v>123</v>
      </c>
      <c r="C22" s="28" t="s">
        <v>6</v>
      </c>
      <c r="D22" s="19"/>
      <c r="H22" s="20"/>
      <c r="I22" s="19"/>
      <c r="M22" s="20"/>
      <c r="N22" s="19"/>
      <c r="R22" s="20"/>
      <c r="S22" s="93"/>
      <c r="T22" s="94"/>
      <c r="U22" s="94"/>
      <c r="V22" s="94"/>
      <c r="W22" s="94"/>
      <c r="X22" s="93"/>
      <c r="Y22" s="94"/>
      <c r="Z22" s="94"/>
      <c r="AA22" s="94"/>
      <c r="AB22" s="95"/>
      <c r="AC22" s="94"/>
      <c r="AD22" s="94"/>
      <c r="AE22" s="94"/>
      <c r="AF22" s="94"/>
      <c r="AG22" s="95"/>
      <c r="AH22" s="94"/>
      <c r="AI22" s="94"/>
      <c r="AJ22" s="94"/>
      <c r="AK22" s="94"/>
      <c r="AL22" s="95"/>
      <c r="AM22" s="93"/>
      <c r="AN22" s="94"/>
      <c r="AO22" s="94"/>
      <c r="AP22" s="94"/>
      <c r="AQ22" s="94"/>
      <c r="AV22" s="20"/>
      <c r="BB22" s="19"/>
      <c r="BF22" s="20"/>
      <c r="BG22" s="34">
        <v>48</v>
      </c>
      <c r="BH22" s="34">
        <v>48</v>
      </c>
      <c r="BI22" s="18"/>
      <c r="BJ22" s="18"/>
      <c r="BK22" s="18"/>
      <c r="BL22" s="18"/>
      <c r="BM22" s="21">
        <f t="shared" si="1"/>
        <v>96</v>
      </c>
      <c r="BN22" s="22">
        <v>112</v>
      </c>
    </row>
    <row r="23" spans="1:75" x14ac:dyDescent="0.35">
      <c r="A23" s="16" t="s">
        <v>19</v>
      </c>
      <c r="B23" s="17" t="s">
        <v>22</v>
      </c>
      <c r="C23" s="28" t="s">
        <v>5</v>
      </c>
      <c r="D23" s="19"/>
      <c r="H23" s="20"/>
      <c r="I23" s="19"/>
      <c r="M23" s="20"/>
      <c r="N23" s="19"/>
      <c r="R23" s="20"/>
      <c r="S23" s="96"/>
      <c r="T23" s="97"/>
      <c r="U23" s="97"/>
      <c r="V23" s="97"/>
      <c r="W23" s="97"/>
      <c r="X23" s="96"/>
      <c r="Y23" s="97"/>
      <c r="Z23" s="97"/>
      <c r="AA23" s="97"/>
      <c r="AB23" s="98"/>
      <c r="AC23" s="97"/>
      <c r="AD23" s="97"/>
      <c r="AE23" s="97"/>
      <c r="AF23" s="97"/>
      <c r="AG23" s="98"/>
      <c r="AH23" s="97"/>
      <c r="AI23" s="97"/>
      <c r="AJ23" s="97"/>
      <c r="AK23" s="97"/>
      <c r="AL23" s="98"/>
      <c r="AM23" s="96"/>
      <c r="AN23" s="97"/>
      <c r="AO23" s="97"/>
      <c r="AP23" s="97"/>
      <c r="AQ23" s="97"/>
      <c r="AV23" s="20"/>
      <c r="BB23" s="19"/>
      <c r="BF23" s="20"/>
      <c r="BG23" s="18"/>
      <c r="BH23" s="18"/>
      <c r="BI23" s="34">
        <v>48</v>
      </c>
      <c r="BJ23" s="34">
        <v>48</v>
      </c>
      <c r="BK23" s="18"/>
      <c r="BL23" s="18"/>
      <c r="BM23" s="21">
        <f t="shared" si="1"/>
        <v>96</v>
      </c>
      <c r="BN23" s="22">
        <v>112</v>
      </c>
    </row>
    <row r="24" spans="1:75" x14ac:dyDescent="0.35">
      <c r="A24" s="23" t="s">
        <v>20</v>
      </c>
      <c r="B24" s="29" t="s">
        <v>37</v>
      </c>
      <c r="C24" s="30" t="s">
        <v>27</v>
      </c>
      <c r="D24" s="25"/>
      <c r="E24" s="26"/>
      <c r="F24" s="26"/>
      <c r="G24" s="26"/>
      <c r="H24" s="27"/>
      <c r="I24" s="25"/>
      <c r="J24" s="26"/>
      <c r="K24" s="26"/>
      <c r="L24" s="26"/>
      <c r="M24" s="27"/>
      <c r="N24" s="25"/>
      <c r="O24" s="26"/>
      <c r="P24" s="26"/>
      <c r="Q24" s="26"/>
      <c r="R24" s="27"/>
      <c r="S24" s="99"/>
      <c r="T24" s="100"/>
      <c r="U24" s="100"/>
      <c r="V24" s="100"/>
      <c r="W24" s="100"/>
      <c r="X24" s="99"/>
      <c r="Y24" s="100"/>
      <c r="Z24" s="100"/>
      <c r="AA24" s="100"/>
      <c r="AB24" s="101"/>
      <c r="AC24" s="100"/>
      <c r="AD24" s="100"/>
      <c r="AE24" s="100"/>
      <c r="AF24" s="100"/>
      <c r="AG24" s="101"/>
      <c r="AH24" s="100"/>
      <c r="AI24" s="100"/>
      <c r="AJ24" s="100"/>
      <c r="AK24" s="100"/>
      <c r="AL24" s="101"/>
      <c r="AM24" s="99"/>
      <c r="AN24" s="100"/>
      <c r="AO24" s="100"/>
      <c r="AP24" s="100"/>
      <c r="AQ24" s="100"/>
      <c r="AR24" s="26"/>
      <c r="AS24" s="26"/>
      <c r="AT24" s="26"/>
      <c r="AU24" s="26"/>
      <c r="AV24" s="27"/>
      <c r="AW24" s="26"/>
      <c r="AX24" s="26"/>
      <c r="AY24" s="26"/>
      <c r="AZ24" s="26"/>
      <c r="BA24" s="26"/>
      <c r="BB24" s="25"/>
      <c r="BC24" s="26"/>
      <c r="BD24" s="26"/>
      <c r="BE24" s="26"/>
      <c r="BF24" s="27"/>
      <c r="BG24" s="24"/>
      <c r="BH24" s="24"/>
      <c r="BI24" s="24"/>
      <c r="BJ24" s="24"/>
      <c r="BK24" s="35">
        <v>48</v>
      </c>
      <c r="BL24" s="35">
        <v>48</v>
      </c>
      <c r="BM24" s="21">
        <f t="shared" si="1"/>
        <v>96</v>
      </c>
      <c r="BN24" s="22">
        <v>112</v>
      </c>
    </row>
    <row r="25" spans="1:75" x14ac:dyDescent="0.35">
      <c r="A25" s="7">
        <v>6</v>
      </c>
      <c r="B25" s="8" t="s">
        <v>53</v>
      </c>
      <c r="C25" s="9"/>
      <c r="D25" s="10"/>
      <c r="E25" s="11"/>
      <c r="F25" s="11"/>
      <c r="G25" s="11"/>
      <c r="H25" s="12"/>
      <c r="I25" s="10"/>
      <c r="J25" s="11"/>
      <c r="K25" s="11"/>
      <c r="L25" s="11"/>
      <c r="M25" s="12"/>
      <c r="N25" s="10"/>
      <c r="O25" s="11"/>
      <c r="P25" s="11"/>
      <c r="Q25" s="11"/>
      <c r="R25" s="12"/>
      <c r="S25" s="10"/>
      <c r="T25" s="11"/>
      <c r="U25" s="11"/>
      <c r="V25" s="11"/>
      <c r="W25" s="11"/>
      <c r="X25" s="19"/>
      <c r="AB25" s="20"/>
      <c r="AC25" s="11"/>
      <c r="AD25" s="11"/>
      <c r="AE25" s="11"/>
      <c r="AF25" s="11"/>
      <c r="AG25" s="12"/>
      <c r="AH25" s="11"/>
      <c r="AI25" s="11"/>
      <c r="AJ25" s="11"/>
      <c r="AK25" s="11"/>
      <c r="AL25" s="12"/>
      <c r="AM25" s="10"/>
      <c r="AN25" s="11"/>
      <c r="AO25" s="11"/>
      <c r="AP25" s="11"/>
      <c r="AQ25" s="12"/>
      <c r="AR25" s="11"/>
      <c r="AS25" s="11"/>
      <c r="AT25" s="11"/>
      <c r="AU25" s="11"/>
      <c r="AV25" s="12"/>
      <c r="AW25" s="11"/>
      <c r="AX25" s="11"/>
      <c r="AY25" s="11"/>
      <c r="AZ25" s="11"/>
      <c r="BA25" s="11"/>
      <c r="BB25" s="10"/>
      <c r="BC25" s="11"/>
      <c r="BD25" s="11"/>
      <c r="BE25" s="11"/>
      <c r="BF25" s="12"/>
      <c r="BG25" s="13">
        <f>SUM(BG26:BG29)</f>
        <v>24</v>
      </c>
      <c r="BH25" s="13">
        <f t="shared" ref="BH25:BM25" si="7">SUM(BH26:BH29)</f>
        <v>24</v>
      </c>
      <c r="BI25" s="13">
        <f t="shared" si="7"/>
        <v>24</v>
      </c>
      <c r="BJ25" s="13">
        <f t="shared" si="7"/>
        <v>24</v>
      </c>
      <c r="BK25" s="13">
        <f t="shared" si="7"/>
        <v>24</v>
      </c>
      <c r="BL25" s="13">
        <f t="shared" si="7"/>
        <v>24</v>
      </c>
      <c r="BM25" s="14">
        <f t="shared" si="7"/>
        <v>144</v>
      </c>
      <c r="BN25" s="15">
        <f>6*24</f>
        <v>144</v>
      </c>
    </row>
    <row r="26" spans="1:75" x14ac:dyDescent="0.35">
      <c r="A26" s="16" t="s">
        <v>38</v>
      </c>
      <c r="B26" s="17" t="s">
        <v>23</v>
      </c>
      <c r="C26" s="18" t="s">
        <v>54</v>
      </c>
      <c r="D26" s="19"/>
      <c r="H26" s="20"/>
      <c r="I26" s="19"/>
      <c r="M26" s="20"/>
      <c r="N26" s="19"/>
      <c r="R26" s="20"/>
      <c r="S26" s="19"/>
      <c r="X26" s="19"/>
      <c r="AB26" s="20"/>
      <c r="AG26" s="20"/>
      <c r="AL26" s="20"/>
      <c r="AM26" s="19"/>
      <c r="AQ26" s="20"/>
      <c r="AR26" s="102"/>
      <c r="AS26" s="102"/>
      <c r="AT26" s="102"/>
      <c r="AU26" s="102"/>
      <c r="AV26" s="103"/>
      <c r="AW26" s="102"/>
      <c r="BB26" s="19"/>
      <c r="BF26" s="20"/>
      <c r="BG26" s="36">
        <v>8</v>
      </c>
      <c r="BH26" s="36">
        <v>8</v>
      </c>
      <c r="BI26" s="36">
        <v>8</v>
      </c>
      <c r="BJ26" s="36">
        <v>8</v>
      </c>
      <c r="BK26" s="36">
        <v>8</v>
      </c>
      <c r="BL26" s="36">
        <v>8</v>
      </c>
      <c r="BM26" s="21">
        <f t="shared" si="1"/>
        <v>48</v>
      </c>
      <c r="BN26" s="22">
        <v>48</v>
      </c>
    </row>
    <row r="27" spans="1:75" x14ac:dyDescent="0.35">
      <c r="A27" s="16" t="s">
        <v>39</v>
      </c>
      <c r="B27" s="17" t="s">
        <v>123</v>
      </c>
      <c r="C27" s="28" t="s">
        <v>6</v>
      </c>
      <c r="D27" s="19"/>
      <c r="H27" s="20"/>
      <c r="I27" s="19"/>
      <c r="M27" s="20"/>
      <c r="N27" s="19"/>
      <c r="R27" s="20"/>
      <c r="S27" s="19"/>
      <c r="X27" s="19"/>
      <c r="AB27" s="20"/>
      <c r="AG27" s="20"/>
      <c r="AL27" s="20"/>
      <c r="AM27" s="19"/>
      <c r="AQ27" s="20"/>
      <c r="AR27" s="104"/>
      <c r="AS27" s="104"/>
      <c r="AT27" s="104"/>
      <c r="AU27" s="104"/>
      <c r="AV27" s="105"/>
      <c r="AW27" s="104"/>
      <c r="BB27" s="19"/>
      <c r="BF27" s="20"/>
      <c r="BG27" s="34">
        <v>16</v>
      </c>
      <c r="BH27" s="34">
        <v>16</v>
      </c>
      <c r="BI27" s="18"/>
      <c r="BJ27" s="18"/>
      <c r="BK27" s="18"/>
      <c r="BL27" s="18"/>
      <c r="BM27" s="21">
        <f t="shared" si="1"/>
        <v>32</v>
      </c>
      <c r="BN27" s="22">
        <v>32</v>
      </c>
    </row>
    <row r="28" spans="1:75" x14ac:dyDescent="0.35">
      <c r="A28" s="16" t="s">
        <v>40</v>
      </c>
      <c r="B28" s="17" t="s">
        <v>22</v>
      </c>
      <c r="C28" s="28" t="s">
        <v>5</v>
      </c>
      <c r="D28" s="19"/>
      <c r="H28" s="20"/>
      <c r="I28" s="19"/>
      <c r="M28" s="20"/>
      <c r="N28" s="19"/>
      <c r="R28" s="20"/>
      <c r="S28" s="19"/>
      <c r="X28" s="19"/>
      <c r="AB28" s="20"/>
      <c r="AG28" s="20"/>
      <c r="AL28" s="20"/>
      <c r="AM28" s="19"/>
      <c r="AQ28" s="20"/>
      <c r="AR28" s="106"/>
      <c r="AS28" s="106"/>
      <c r="AT28" s="106"/>
      <c r="AU28" s="106"/>
      <c r="AV28" s="107"/>
      <c r="AW28" s="106"/>
      <c r="BB28" s="19"/>
      <c r="BF28" s="20"/>
      <c r="BG28" s="18"/>
      <c r="BH28" s="18"/>
      <c r="BI28" s="34">
        <v>16</v>
      </c>
      <c r="BJ28" s="34">
        <v>16</v>
      </c>
      <c r="BK28" s="18"/>
      <c r="BL28" s="18"/>
      <c r="BM28" s="21">
        <f t="shared" si="1"/>
        <v>32</v>
      </c>
      <c r="BN28" s="22">
        <v>32</v>
      </c>
    </row>
    <row r="29" spans="1:75" x14ac:dyDescent="0.35">
      <c r="A29" s="23" t="s">
        <v>41</v>
      </c>
      <c r="B29" s="29" t="s">
        <v>37</v>
      </c>
      <c r="C29" s="30" t="s">
        <v>27</v>
      </c>
      <c r="D29" s="25"/>
      <c r="E29" s="26"/>
      <c r="F29" s="26"/>
      <c r="G29" s="26"/>
      <c r="H29" s="27"/>
      <c r="I29" s="25"/>
      <c r="J29" s="26"/>
      <c r="K29" s="26"/>
      <c r="L29" s="26"/>
      <c r="M29" s="27"/>
      <c r="N29" s="25"/>
      <c r="O29" s="26"/>
      <c r="P29" s="26"/>
      <c r="Q29" s="26"/>
      <c r="R29" s="27"/>
      <c r="S29" s="25"/>
      <c r="T29" s="26"/>
      <c r="U29" s="26"/>
      <c r="V29" s="26"/>
      <c r="W29" s="26"/>
      <c r="X29" s="25"/>
      <c r="Y29" s="26"/>
      <c r="Z29" s="26"/>
      <c r="AA29" s="26"/>
      <c r="AB29" s="27"/>
      <c r="AC29" s="26"/>
      <c r="AD29" s="26"/>
      <c r="AE29" s="26"/>
      <c r="AF29" s="26"/>
      <c r="AG29" s="27"/>
      <c r="AH29" s="26"/>
      <c r="AI29" s="26"/>
      <c r="AJ29" s="26"/>
      <c r="AK29" s="26"/>
      <c r="AL29" s="27"/>
      <c r="AM29" s="25"/>
      <c r="AN29" s="26"/>
      <c r="AO29" s="26"/>
      <c r="AP29" s="26"/>
      <c r="AQ29" s="27"/>
      <c r="AR29" s="108"/>
      <c r="AS29" s="108"/>
      <c r="AT29" s="108"/>
      <c r="AU29" s="108"/>
      <c r="AV29" s="109"/>
      <c r="AW29" s="108"/>
      <c r="AX29" s="26"/>
      <c r="AY29" s="26"/>
      <c r="AZ29" s="26"/>
      <c r="BA29" s="26"/>
      <c r="BB29" s="25"/>
      <c r="BC29" s="26"/>
      <c r="BD29" s="26"/>
      <c r="BE29" s="26"/>
      <c r="BF29" s="27"/>
      <c r="BG29" s="24"/>
      <c r="BH29" s="24"/>
      <c r="BI29" s="24"/>
      <c r="BJ29" s="24"/>
      <c r="BK29" s="35">
        <v>16</v>
      </c>
      <c r="BL29" s="35">
        <v>16</v>
      </c>
      <c r="BM29" s="21">
        <f t="shared" si="1"/>
        <v>32</v>
      </c>
      <c r="BN29" s="22">
        <v>32</v>
      </c>
    </row>
    <row r="30" spans="1:75" x14ac:dyDescent="0.35">
      <c r="C30" s="2"/>
      <c r="J30" s="20"/>
      <c r="L30" s="20"/>
      <c r="W30" s="20"/>
      <c r="AA30" s="20"/>
      <c r="AE30" s="12"/>
      <c r="AP30" s="20"/>
      <c r="AW30" s="20"/>
      <c r="BF30" s="20"/>
      <c r="BG30" s="41">
        <f>BG5+BG8+BG13+BG17+BG21+BG25</f>
        <v>106</v>
      </c>
      <c r="BH30" s="41">
        <f t="shared" ref="BH30:BL30" si="8">BH5+BH8+BH13+BH17+BH21+BH25</f>
        <v>106</v>
      </c>
      <c r="BI30" s="41">
        <f t="shared" si="8"/>
        <v>106</v>
      </c>
      <c r="BJ30" s="41">
        <f t="shared" si="8"/>
        <v>106</v>
      </c>
      <c r="BK30" s="41">
        <f t="shared" si="8"/>
        <v>106</v>
      </c>
      <c r="BL30" s="81">
        <f t="shared" si="8"/>
        <v>106</v>
      </c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</row>
    <row r="31" spans="1:75" x14ac:dyDescent="0.35">
      <c r="C31" s="2"/>
      <c r="J31" s="80" t="s">
        <v>136</v>
      </c>
      <c r="L31" s="20"/>
      <c r="W31" s="20"/>
      <c r="AA31" s="20"/>
      <c r="AE31" s="20"/>
      <c r="AP31" s="20"/>
      <c r="AW31" s="20"/>
      <c r="BF31" s="20"/>
      <c r="BG31" s="42">
        <v>106</v>
      </c>
      <c r="BH31" s="42">
        <v>106</v>
      </c>
      <c r="BI31" s="42">
        <v>106</v>
      </c>
      <c r="BJ31" s="42">
        <v>106</v>
      </c>
      <c r="BK31" s="42">
        <v>106</v>
      </c>
      <c r="BL31" s="82">
        <v>106</v>
      </c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</row>
    <row r="32" spans="1:75" x14ac:dyDescent="0.35">
      <c r="L32" s="80" t="s">
        <v>138</v>
      </c>
      <c r="W32" s="79" t="s">
        <v>137</v>
      </c>
      <c r="AA32" s="79" t="s">
        <v>139</v>
      </c>
      <c r="AE32" s="20"/>
      <c r="AP32" s="20"/>
      <c r="AW32" s="20"/>
      <c r="BF32" s="20"/>
    </row>
    <row r="33" spans="23:61" x14ac:dyDescent="0.35">
      <c r="W33" s="139"/>
      <c r="AE33" s="79" t="s">
        <v>155</v>
      </c>
      <c r="AP33" s="20"/>
      <c r="AW33" s="20"/>
      <c r="BF33" s="20"/>
    </row>
    <row r="34" spans="23:61" x14ac:dyDescent="0.35">
      <c r="AA34" s="139"/>
      <c r="AP34" s="20"/>
      <c r="AW34" s="20"/>
      <c r="BF34" s="20"/>
      <c r="BH34" s="43"/>
      <c r="BI34" s="2" t="s">
        <v>91</v>
      </c>
    </row>
    <row r="35" spans="23:61" x14ac:dyDescent="0.35">
      <c r="AP35" s="80" t="s">
        <v>140</v>
      </c>
      <c r="AW35" s="20"/>
      <c r="BF35" s="20"/>
      <c r="BH35" s="44" t="s">
        <v>87</v>
      </c>
      <c r="BI35" s="2" t="s">
        <v>92</v>
      </c>
    </row>
    <row r="36" spans="23:61" x14ac:dyDescent="0.35">
      <c r="AW36" s="79" t="s">
        <v>141</v>
      </c>
      <c r="BF36" s="20"/>
      <c r="BH36" s="45"/>
      <c r="BI36" s="2" t="s">
        <v>90</v>
      </c>
    </row>
    <row r="37" spans="23:61" x14ac:dyDescent="0.35">
      <c r="BF37" s="80" t="s">
        <v>142</v>
      </c>
      <c r="BH37" s="46"/>
      <c r="BI37" s="2" t="s">
        <v>89</v>
      </c>
    </row>
    <row r="38" spans="23:61" x14ac:dyDescent="0.35">
      <c r="BH38" s="47"/>
      <c r="BI38" s="2" t="s">
        <v>93</v>
      </c>
    </row>
    <row r="39" spans="23:61" x14ac:dyDescent="0.35">
      <c r="BH39" s="48"/>
      <c r="BI39" s="2" t="s">
        <v>94</v>
      </c>
    </row>
  </sheetData>
  <mergeCells count="13">
    <mergeCell ref="AH4:AL4"/>
    <mergeCell ref="AR4:AV4"/>
    <mergeCell ref="A1:BN1"/>
    <mergeCell ref="AW4:BA4"/>
    <mergeCell ref="BB4:BF4"/>
    <mergeCell ref="AM4:AQ4"/>
    <mergeCell ref="BG3:BM3"/>
    <mergeCell ref="D4:H4"/>
    <mergeCell ref="I4:M4"/>
    <mergeCell ref="N4:R4"/>
    <mergeCell ref="S4:W4"/>
    <mergeCell ref="X4:AB4"/>
    <mergeCell ref="AC4:AG4"/>
  </mergeCells>
  <pageMargins left="0.7" right="0.7" top="0.75" bottom="0.75" header="0.3" footer="0.3"/>
  <pageSetup paperSize="8" scale="78" orientation="landscape" r:id="rId1"/>
  <headerFooter>
    <oddHeader>&amp;CMF1024 Produktutveckling VT2019&amp;R&amp;D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74"/>
  <sheetViews>
    <sheetView zoomScaleNormal="100" workbookViewId="0">
      <selection activeCell="P25" sqref="P25"/>
    </sheetView>
  </sheetViews>
  <sheetFormatPr defaultRowHeight="14.5" x14ac:dyDescent="0.35"/>
  <cols>
    <col min="1" max="1" width="5" customWidth="1"/>
    <col min="2" max="2" width="42" customWidth="1"/>
    <col min="3" max="3" width="9.26953125" style="1" customWidth="1"/>
    <col min="4" max="58" width="1.7265625" style="1" customWidth="1"/>
  </cols>
  <sheetData>
    <row r="1" spans="1:61" ht="18.5" x14ac:dyDescent="0.45">
      <c r="A1" s="142" t="s">
        <v>131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</row>
    <row r="2" spans="1:61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</row>
    <row r="3" spans="1:61" x14ac:dyDescent="0.35">
      <c r="A3" s="49" t="s">
        <v>32</v>
      </c>
      <c r="B3" s="49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143" t="s">
        <v>86</v>
      </c>
      <c r="BH3" s="144"/>
      <c r="BI3" s="145"/>
    </row>
    <row r="4" spans="1:61" x14ac:dyDescent="0.35">
      <c r="A4" s="3"/>
      <c r="B4" s="3"/>
      <c r="C4" s="6" t="s">
        <v>4</v>
      </c>
      <c r="D4" s="143" t="s">
        <v>149</v>
      </c>
      <c r="E4" s="144"/>
      <c r="F4" s="144"/>
      <c r="G4" s="144"/>
      <c r="H4" s="145"/>
      <c r="I4" s="143" t="s">
        <v>150</v>
      </c>
      <c r="J4" s="144"/>
      <c r="K4" s="144"/>
      <c r="L4" s="144"/>
      <c r="M4" s="145"/>
      <c r="N4" s="143" t="s">
        <v>151</v>
      </c>
      <c r="O4" s="144"/>
      <c r="P4" s="144"/>
      <c r="Q4" s="144"/>
      <c r="R4" s="145"/>
      <c r="S4" s="143" t="s">
        <v>152</v>
      </c>
      <c r="T4" s="144"/>
      <c r="U4" s="144"/>
      <c r="V4" s="144"/>
      <c r="W4" s="144"/>
      <c r="X4" s="143" t="s">
        <v>153</v>
      </c>
      <c r="Y4" s="144"/>
      <c r="Z4" s="144"/>
      <c r="AA4" s="144"/>
      <c r="AB4" s="145"/>
      <c r="AC4" s="144" t="s">
        <v>154</v>
      </c>
      <c r="AD4" s="144"/>
      <c r="AE4" s="144"/>
      <c r="AF4" s="144"/>
      <c r="AG4" s="145"/>
      <c r="AH4" s="143" t="s">
        <v>156</v>
      </c>
      <c r="AI4" s="144"/>
      <c r="AJ4" s="144"/>
      <c r="AK4" s="144"/>
      <c r="AL4" s="145"/>
      <c r="AM4" s="143" t="s">
        <v>157</v>
      </c>
      <c r="AN4" s="144"/>
      <c r="AO4" s="144"/>
      <c r="AP4" s="144"/>
      <c r="AQ4" s="145"/>
      <c r="AR4" s="143" t="s">
        <v>158</v>
      </c>
      <c r="AS4" s="144"/>
      <c r="AT4" s="144"/>
      <c r="AU4" s="144"/>
      <c r="AV4" s="145"/>
      <c r="AW4" s="143" t="s">
        <v>159</v>
      </c>
      <c r="AX4" s="144"/>
      <c r="AY4" s="144"/>
      <c r="AZ4" s="144"/>
      <c r="BA4" s="145"/>
      <c r="BB4" s="143" t="s">
        <v>160</v>
      </c>
      <c r="BC4" s="144"/>
      <c r="BD4" s="144"/>
      <c r="BE4" s="144"/>
      <c r="BF4" s="145"/>
      <c r="BG4" s="78" t="s">
        <v>62</v>
      </c>
      <c r="BH4" s="6" t="s">
        <v>63</v>
      </c>
      <c r="BI4" s="6" t="s">
        <v>29</v>
      </c>
    </row>
    <row r="5" spans="1:61" x14ac:dyDescent="0.35">
      <c r="A5" s="65">
        <v>1</v>
      </c>
      <c r="B5" s="58" t="s">
        <v>127</v>
      </c>
      <c r="C5" s="9"/>
      <c r="D5" s="59"/>
      <c r="E5" s="60"/>
      <c r="F5" s="60"/>
      <c r="G5" s="60"/>
      <c r="H5" s="61"/>
      <c r="I5" s="59"/>
      <c r="J5" s="60"/>
      <c r="K5" s="60"/>
      <c r="L5" s="60"/>
      <c r="M5" s="61"/>
      <c r="N5" s="59"/>
      <c r="O5" s="60"/>
      <c r="P5" s="60"/>
      <c r="Q5" s="60"/>
      <c r="R5" s="61"/>
      <c r="S5" s="59"/>
      <c r="T5" s="60"/>
      <c r="U5" s="60"/>
      <c r="V5" s="60"/>
      <c r="W5" s="61"/>
      <c r="X5" s="59"/>
      <c r="Y5" s="60"/>
      <c r="Z5" s="60"/>
      <c r="AA5" s="60"/>
      <c r="AB5" s="61"/>
      <c r="AC5" s="59"/>
      <c r="AD5" s="60"/>
      <c r="AE5" s="60"/>
      <c r="AF5" s="60"/>
      <c r="AG5" s="61"/>
      <c r="AH5" s="59"/>
      <c r="AI5" s="60"/>
      <c r="AJ5" s="60"/>
      <c r="AK5" s="60"/>
      <c r="AL5" s="61"/>
      <c r="AM5" s="59"/>
      <c r="AN5" s="60"/>
      <c r="AO5" s="60"/>
      <c r="AP5" s="60"/>
      <c r="AQ5" s="61"/>
      <c r="AR5" s="59"/>
      <c r="AS5" s="60"/>
      <c r="AT5" s="60"/>
      <c r="AU5" s="60"/>
      <c r="AV5" s="61"/>
      <c r="AW5" s="59"/>
      <c r="AX5" s="60"/>
      <c r="AY5" s="60"/>
      <c r="AZ5" s="60"/>
      <c r="BA5" s="61"/>
      <c r="BB5" s="59"/>
      <c r="BC5" s="60"/>
      <c r="BD5" s="60"/>
      <c r="BE5" s="60"/>
      <c r="BF5" s="61"/>
      <c r="BG5" s="9">
        <v>8</v>
      </c>
      <c r="BH5" s="9">
        <v>8</v>
      </c>
      <c r="BI5" s="71">
        <f>SUM(BG5:BH5)</f>
        <v>16</v>
      </c>
    </row>
    <row r="6" spans="1:61" x14ac:dyDescent="0.35">
      <c r="A6" s="16" t="s">
        <v>7</v>
      </c>
      <c r="B6" s="20" t="s">
        <v>47</v>
      </c>
      <c r="C6" s="18"/>
      <c r="D6" s="62"/>
      <c r="E6" s="4"/>
      <c r="F6" s="4"/>
      <c r="G6" s="4"/>
      <c r="H6" s="28"/>
      <c r="I6" s="62"/>
      <c r="J6" s="4"/>
      <c r="K6" s="4"/>
      <c r="L6" s="4"/>
      <c r="M6" s="28"/>
      <c r="N6" s="62"/>
      <c r="O6" s="4"/>
      <c r="P6" s="4"/>
      <c r="Q6" s="4"/>
      <c r="R6" s="28"/>
      <c r="S6" s="62"/>
      <c r="T6" s="4"/>
      <c r="U6" s="4"/>
      <c r="V6" s="4"/>
      <c r="W6" s="28"/>
      <c r="X6" s="62"/>
      <c r="Y6" s="4"/>
      <c r="Z6" s="4"/>
      <c r="AA6" s="4"/>
      <c r="AB6" s="28"/>
      <c r="AC6" s="62"/>
      <c r="AD6" s="4"/>
      <c r="AE6" s="4"/>
      <c r="AF6" s="4"/>
      <c r="AG6" s="28"/>
      <c r="AH6" s="62"/>
      <c r="AI6" s="4"/>
      <c r="AJ6" s="4"/>
      <c r="AK6" s="4"/>
      <c r="AL6" s="28"/>
      <c r="AM6" s="62"/>
      <c r="AN6" s="4"/>
      <c r="AO6" s="4"/>
      <c r="AP6" s="4"/>
      <c r="AQ6" s="28"/>
      <c r="AR6" s="62"/>
      <c r="AS6" s="4"/>
      <c r="AT6" s="4"/>
      <c r="AU6" s="4"/>
      <c r="AV6" s="28"/>
      <c r="AW6" s="62"/>
      <c r="AX6" s="4"/>
      <c r="AY6" s="4"/>
      <c r="AZ6" s="4"/>
      <c r="BA6" s="28"/>
      <c r="BB6" s="62"/>
      <c r="BC6" s="4"/>
      <c r="BD6" s="4"/>
      <c r="BE6" s="4"/>
      <c r="BF6" s="28"/>
      <c r="BG6" s="18"/>
      <c r="BH6" s="18"/>
      <c r="BI6" s="72"/>
    </row>
    <row r="7" spans="1:61" x14ac:dyDescent="0.35">
      <c r="A7" s="16" t="s">
        <v>8</v>
      </c>
      <c r="B7" s="20" t="s">
        <v>143</v>
      </c>
      <c r="C7" s="18"/>
      <c r="D7" s="62"/>
      <c r="E7" s="4"/>
      <c r="F7" s="4"/>
      <c r="G7" s="4"/>
      <c r="H7" s="28"/>
      <c r="I7" s="62"/>
      <c r="J7" s="4"/>
      <c r="K7" s="4"/>
      <c r="L7" s="4"/>
      <c r="M7" s="28"/>
      <c r="N7" s="62"/>
      <c r="O7" s="4"/>
      <c r="P7" s="4"/>
      <c r="Q7" s="4"/>
      <c r="R7" s="28"/>
      <c r="S7" s="62"/>
      <c r="T7" s="4"/>
      <c r="U7" s="4"/>
      <c r="V7" s="4"/>
      <c r="W7" s="28"/>
      <c r="X7" s="62"/>
      <c r="Y7" s="4"/>
      <c r="Z7" s="4"/>
      <c r="AA7" s="4"/>
      <c r="AB7" s="28"/>
      <c r="AC7" s="62"/>
      <c r="AD7" s="4"/>
      <c r="AE7" s="4"/>
      <c r="AF7" s="4"/>
      <c r="AG7" s="28"/>
      <c r="AH7" s="62"/>
      <c r="AI7" s="4"/>
      <c r="AJ7" s="4"/>
      <c r="AK7" s="4"/>
      <c r="AL7" s="28"/>
      <c r="AM7" s="62"/>
      <c r="AN7" s="4"/>
      <c r="AO7" s="4"/>
      <c r="AP7" s="4"/>
      <c r="AQ7" s="28"/>
      <c r="AR7" s="62"/>
      <c r="AS7" s="4"/>
      <c r="AT7" s="4"/>
      <c r="AU7" s="4"/>
      <c r="AV7" s="28"/>
      <c r="AW7" s="62"/>
      <c r="AX7" s="4"/>
      <c r="AY7" s="4"/>
      <c r="AZ7" s="4"/>
      <c r="BA7" s="28"/>
      <c r="BB7" s="62"/>
      <c r="BC7" s="4"/>
      <c r="BD7" s="4"/>
      <c r="BE7" s="4"/>
      <c r="BF7" s="28"/>
      <c r="BG7" s="18"/>
      <c r="BH7" s="18"/>
      <c r="BI7" s="72"/>
    </row>
    <row r="8" spans="1:61" x14ac:dyDescent="0.35">
      <c r="A8" s="16" t="s">
        <v>57</v>
      </c>
      <c r="B8" s="20" t="s">
        <v>128</v>
      </c>
      <c r="C8" s="18"/>
      <c r="D8" s="62"/>
      <c r="E8" s="4"/>
      <c r="F8" s="4"/>
      <c r="G8" s="4"/>
      <c r="H8" s="28"/>
      <c r="I8" s="62"/>
      <c r="J8" s="4"/>
      <c r="K8" s="4"/>
      <c r="L8" s="4"/>
      <c r="M8" s="28"/>
      <c r="N8" s="62"/>
      <c r="O8" s="4"/>
      <c r="P8" s="4"/>
      <c r="Q8" s="4"/>
      <c r="R8" s="28"/>
      <c r="S8" s="62"/>
      <c r="T8" s="4"/>
      <c r="U8" s="4"/>
      <c r="V8" s="4"/>
      <c r="W8" s="28"/>
      <c r="X8" s="62"/>
      <c r="Y8" s="4"/>
      <c r="Z8" s="4"/>
      <c r="AA8" s="4"/>
      <c r="AB8" s="28"/>
      <c r="AC8" s="62"/>
      <c r="AD8" s="4"/>
      <c r="AE8" s="4"/>
      <c r="AF8" s="4"/>
      <c r="AG8" s="28"/>
      <c r="AH8" s="62"/>
      <c r="AI8" s="4"/>
      <c r="AJ8" s="4"/>
      <c r="AK8" s="4"/>
      <c r="AL8" s="28"/>
      <c r="AM8" s="62"/>
      <c r="AN8" s="4"/>
      <c r="AO8" s="4"/>
      <c r="AP8" s="4"/>
      <c r="AQ8" s="28"/>
      <c r="AR8" s="62"/>
      <c r="AS8" s="4"/>
      <c r="AT8" s="4"/>
      <c r="AU8" s="4"/>
      <c r="AV8" s="28"/>
      <c r="AW8" s="62"/>
      <c r="AX8" s="4"/>
      <c r="AY8" s="4"/>
      <c r="AZ8" s="4"/>
      <c r="BA8" s="28"/>
      <c r="BB8" s="62"/>
      <c r="BC8" s="4"/>
      <c r="BD8" s="4"/>
      <c r="BE8" s="4"/>
      <c r="BF8" s="28"/>
      <c r="BG8" s="18"/>
      <c r="BH8" s="18"/>
      <c r="BI8" s="72"/>
    </row>
    <row r="9" spans="1:61" x14ac:dyDescent="0.35">
      <c r="A9" s="16" t="s">
        <v>77</v>
      </c>
      <c r="B9" s="20" t="s">
        <v>85</v>
      </c>
      <c r="C9" s="18"/>
      <c r="D9" s="62"/>
      <c r="E9" s="4"/>
      <c r="F9" s="4"/>
      <c r="G9" s="4"/>
      <c r="H9" s="28"/>
      <c r="I9" s="62"/>
      <c r="J9" s="4"/>
      <c r="K9" s="4"/>
      <c r="L9" s="4"/>
      <c r="M9" s="28"/>
      <c r="N9" s="62"/>
      <c r="O9" s="4"/>
      <c r="P9" s="4"/>
      <c r="Q9" s="4"/>
      <c r="R9" s="28"/>
      <c r="S9" s="62"/>
      <c r="T9" s="4"/>
      <c r="U9" s="4"/>
      <c r="V9" s="4"/>
      <c r="W9" s="28"/>
      <c r="X9" s="62"/>
      <c r="Y9" s="4"/>
      <c r="Z9" s="4"/>
      <c r="AA9" s="4"/>
      <c r="AB9" s="28"/>
      <c r="AC9" s="62"/>
      <c r="AD9" s="4"/>
      <c r="AE9" s="4"/>
      <c r="AF9" s="4"/>
      <c r="AG9" s="28"/>
      <c r="AH9" s="62"/>
      <c r="AI9" s="4"/>
      <c r="AJ9" s="4"/>
      <c r="AK9" s="4"/>
      <c r="AL9" s="28"/>
      <c r="AM9" s="62"/>
      <c r="AN9" s="4"/>
      <c r="AO9" s="4"/>
      <c r="AP9" s="4"/>
      <c r="AQ9" s="28"/>
      <c r="AR9" s="62"/>
      <c r="AS9" s="4"/>
      <c r="AT9" s="4"/>
      <c r="AU9" s="4"/>
      <c r="AV9" s="28"/>
      <c r="AW9" s="62"/>
      <c r="AX9" s="4"/>
      <c r="AY9" s="4"/>
      <c r="AZ9" s="4"/>
      <c r="BA9" s="28"/>
      <c r="BB9" s="62"/>
      <c r="BC9" s="4"/>
      <c r="BD9" s="4"/>
      <c r="BE9" s="4"/>
      <c r="BF9" s="28"/>
      <c r="BG9" s="24"/>
      <c r="BH9" s="24"/>
      <c r="BI9" s="73"/>
    </row>
    <row r="10" spans="1:61" x14ac:dyDescent="0.35">
      <c r="A10" s="67">
        <v>2</v>
      </c>
      <c r="B10" s="8" t="s">
        <v>33</v>
      </c>
      <c r="C10" s="61"/>
      <c r="D10" s="59"/>
      <c r="E10" s="60"/>
      <c r="F10" s="60"/>
      <c r="G10" s="60"/>
      <c r="H10" s="61"/>
      <c r="I10" s="59"/>
      <c r="J10" s="60"/>
      <c r="K10" s="60"/>
      <c r="L10" s="60"/>
      <c r="M10" s="61"/>
      <c r="N10" s="59"/>
      <c r="O10" s="60"/>
      <c r="P10" s="60"/>
      <c r="Q10" s="60"/>
      <c r="R10" s="61"/>
      <c r="S10" s="59"/>
      <c r="T10" s="60"/>
      <c r="U10" s="60"/>
      <c r="V10" s="60"/>
      <c r="W10" s="61"/>
      <c r="X10" s="59"/>
      <c r="Y10" s="60"/>
      <c r="Z10" s="60"/>
      <c r="AA10" s="60"/>
      <c r="AB10" s="61"/>
      <c r="AC10" s="59"/>
      <c r="AD10" s="60"/>
      <c r="AE10" s="60"/>
      <c r="AF10" s="60"/>
      <c r="AG10" s="61"/>
      <c r="AH10" s="59"/>
      <c r="AI10" s="60"/>
      <c r="AJ10" s="60"/>
      <c r="AK10" s="60"/>
      <c r="AL10" s="61"/>
      <c r="AM10" s="59"/>
      <c r="AN10" s="60"/>
      <c r="AO10" s="60"/>
      <c r="AP10" s="60"/>
      <c r="AQ10" s="61"/>
      <c r="AR10" s="59"/>
      <c r="AS10" s="60"/>
      <c r="AT10" s="60"/>
      <c r="AU10" s="60"/>
      <c r="AV10" s="61"/>
      <c r="AW10" s="59"/>
      <c r="AX10" s="60"/>
      <c r="AY10" s="60"/>
      <c r="AZ10" s="60"/>
      <c r="BA10" s="61"/>
      <c r="BB10" s="59"/>
      <c r="BC10" s="60"/>
      <c r="BD10" s="60"/>
      <c r="BE10" s="60"/>
      <c r="BF10" s="61"/>
      <c r="BG10" s="9">
        <v>48</v>
      </c>
      <c r="BH10" s="9">
        <v>48</v>
      </c>
      <c r="BI10" s="71">
        <f>SUM(BG10:BH10)</f>
        <v>96</v>
      </c>
    </row>
    <row r="11" spans="1:61" x14ac:dyDescent="0.35">
      <c r="A11" s="68" t="s">
        <v>9</v>
      </c>
      <c r="B11" s="17" t="s">
        <v>47</v>
      </c>
      <c r="C11" s="28"/>
      <c r="D11" s="62"/>
      <c r="E11" s="4"/>
      <c r="F11" s="4"/>
      <c r="G11" s="4"/>
      <c r="H11" s="28"/>
      <c r="I11" s="62"/>
      <c r="J11" s="4"/>
      <c r="K11" s="4"/>
      <c r="L11" s="4"/>
      <c r="M11" s="28"/>
      <c r="N11" s="62"/>
      <c r="O11" s="4"/>
      <c r="P11" s="4"/>
      <c r="Q11" s="4"/>
      <c r="R11" s="28"/>
      <c r="S11" s="62"/>
      <c r="T11" s="4"/>
      <c r="U11" s="4"/>
      <c r="V11" s="4"/>
      <c r="W11" s="28"/>
      <c r="X11" s="62"/>
      <c r="Y11" s="4"/>
      <c r="Z11" s="4"/>
      <c r="AA11" s="4"/>
      <c r="AB11" s="28"/>
      <c r="AC11" s="62"/>
      <c r="AD11" s="4"/>
      <c r="AE11" s="4"/>
      <c r="AF11" s="4"/>
      <c r="AG11" s="28"/>
      <c r="AH11" s="62"/>
      <c r="AI11" s="4"/>
      <c r="AJ11" s="4"/>
      <c r="AK11" s="4"/>
      <c r="AL11" s="28"/>
      <c r="AM11" s="62"/>
      <c r="AN11" s="4"/>
      <c r="AO11" s="4"/>
      <c r="AP11" s="4"/>
      <c r="AQ11" s="28"/>
      <c r="AR11" s="62"/>
      <c r="AS11" s="4"/>
      <c r="AT11" s="4"/>
      <c r="AU11" s="4"/>
      <c r="AV11" s="28"/>
      <c r="AW11" s="62"/>
      <c r="AX11" s="4"/>
      <c r="AY11" s="4"/>
      <c r="AZ11" s="4"/>
      <c r="BA11" s="28"/>
      <c r="BB11" s="62"/>
      <c r="BC11" s="4"/>
      <c r="BD11" s="4"/>
      <c r="BE11" s="4"/>
      <c r="BF11" s="28"/>
      <c r="BG11" s="18"/>
      <c r="BH11" s="18"/>
      <c r="BI11" s="72"/>
    </row>
    <row r="12" spans="1:61" x14ac:dyDescent="0.35">
      <c r="A12" s="68" t="s">
        <v>10</v>
      </c>
      <c r="B12" s="17" t="s">
        <v>144</v>
      </c>
      <c r="C12" s="28"/>
      <c r="D12" s="62"/>
      <c r="E12" s="4"/>
      <c r="F12" s="4"/>
      <c r="G12" s="4"/>
      <c r="H12" s="28"/>
      <c r="I12" s="62"/>
      <c r="J12" s="4"/>
      <c r="K12" s="4"/>
      <c r="L12" s="4"/>
      <c r="M12" s="28"/>
      <c r="N12" s="62"/>
      <c r="O12" s="4"/>
      <c r="P12" s="4"/>
      <c r="Q12" s="4"/>
      <c r="R12" s="28"/>
      <c r="S12" s="62"/>
      <c r="T12" s="4"/>
      <c r="U12" s="4"/>
      <c r="V12" s="4"/>
      <c r="W12" s="28"/>
      <c r="X12" s="62"/>
      <c r="Y12" s="4"/>
      <c r="Z12" s="4"/>
      <c r="AA12" s="4"/>
      <c r="AB12" s="28"/>
      <c r="AC12" s="62"/>
      <c r="AD12" s="4"/>
      <c r="AE12" s="4"/>
      <c r="AF12" s="4"/>
      <c r="AG12" s="28"/>
      <c r="AH12" s="62"/>
      <c r="AI12" s="4"/>
      <c r="AJ12" s="4"/>
      <c r="AK12" s="4"/>
      <c r="AL12" s="28"/>
      <c r="AM12" s="62"/>
      <c r="AN12" s="4"/>
      <c r="AO12" s="4"/>
      <c r="AP12" s="4"/>
      <c r="AQ12" s="28"/>
      <c r="AR12" s="62"/>
      <c r="AS12" s="4"/>
      <c r="AT12" s="4"/>
      <c r="AU12" s="4"/>
      <c r="AV12" s="28"/>
      <c r="AW12" s="62"/>
      <c r="AX12" s="4"/>
      <c r="AY12" s="4"/>
      <c r="AZ12" s="4"/>
      <c r="BA12" s="28"/>
      <c r="BB12" s="62"/>
      <c r="BC12" s="4"/>
      <c r="BD12" s="4"/>
      <c r="BE12" s="4"/>
      <c r="BF12" s="28"/>
      <c r="BG12" s="18"/>
      <c r="BH12" s="18"/>
      <c r="BI12" s="72"/>
    </row>
    <row r="13" spans="1:61" x14ac:dyDescent="0.35">
      <c r="A13" s="68" t="s">
        <v>11</v>
      </c>
      <c r="B13" s="17" t="s">
        <v>114</v>
      </c>
      <c r="C13" s="28"/>
      <c r="D13" s="62"/>
      <c r="E13" s="4"/>
      <c r="F13" s="4"/>
      <c r="G13" s="4"/>
      <c r="H13" s="28"/>
      <c r="I13" s="62"/>
      <c r="J13" s="4"/>
      <c r="K13" s="4"/>
      <c r="L13" s="4"/>
      <c r="M13" s="28"/>
      <c r="N13" s="62"/>
      <c r="O13" s="4"/>
      <c r="P13" s="4"/>
      <c r="Q13" s="4"/>
      <c r="R13" s="28"/>
      <c r="S13" s="62"/>
      <c r="T13" s="4"/>
      <c r="U13" s="4"/>
      <c r="V13" s="4"/>
      <c r="W13" s="28"/>
      <c r="X13" s="62"/>
      <c r="Y13" s="4"/>
      <c r="Z13" s="4"/>
      <c r="AA13" s="4"/>
      <c r="AB13" s="28"/>
      <c r="AC13" s="62"/>
      <c r="AD13" s="4"/>
      <c r="AE13" s="4"/>
      <c r="AF13" s="4"/>
      <c r="AG13" s="28"/>
      <c r="AH13" s="62"/>
      <c r="AI13" s="4"/>
      <c r="AJ13" s="4"/>
      <c r="AK13" s="4"/>
      <c r="AL13" s="28"/>
      <c r="AM13" s="62"/>
      <c r="AN13" s="4"/>
      <c r="AO13" s="4"/>
      <c r="AP13" s="4"/>
      <c r="AQ13" s="28"/>
      <c r="AR13" s="62"/>
      <c r="AS13" s="4"/>
      <c r="AT13" s="4"/>
      <c r="AU13" s="4"/>
      <c r="AV13" s="28"/>
      <c r="AW13" s="62"/>
      <c r="AX13" s="4"/>
      <c r="AY13" s="4"/>
      <c r="AZ13" s="4"/>
      <c r="BA13" s="28"/>
      <c r="BB13" s="62"/>
      <c r="BC13" s="4"/>
      <c r="BD13" s="4"/>
      <c r="BE13" s="4"/>
      <c r="BF13" s="28"/>
      <c r="BG13" s="18"/>
      <c r="BH13" s="18"/>
      <c r="BI13" s="72"/>
    </row>
    <row r="14" spans="1:61" x14ac:dyDescent="0.35">
      <c r="A14" s="68" t="s">
        <v>28</v>
      </c>
      <c r="B14" s="17" t="s">
        <v>117</v>
      </c>
      <c r="C14" s="28"/>
      <c r="D14" s="62"/>
      <c r="E14" s="4"/>
      <c r="F14" s="4"/>
      <c r="G14" s="4"/>
      <c r="H14" s="28"/>
      <c r="I14" s="62"/>
      <c r="J14" s="4"/>
      <c r="K14" s="4"/>
      <c r="L14" s="4"/>
      <c r="M14" s="28"/>
      <c r="N14" s="62"/>
      <c r="O14" s="4"/>
      <c r="P14" s="4"/>
      <c r="Q14" s="4"/>
      <c r="R14" s="28"/>
      <c r="S14" s="62"/>
      <c r="T14" s="4"/>
      <c r="U14" s="4"/>
      <c r="V14" s="4"/>
      <c r="W14" s="28"/>
      <c r="X14" s="62"/>
      <c r="Y14" s="4"/>
      <c r="Z14" s="4"/>
      <c r="AA14" s="4"/>
      <c r="AB14" s="28"/>
      <c r="AC14" s="62"/>
      <c r="AD14" s="4"/>
      <c r="AE14" s="4"/>
      <c r="AF14" s="4"/>
      <c r="AG14" s="28"/>
      <c r="AH14" s="62"/>
      <c r="AI14" s="4"/>
      <c r="AJ14" s="4"/>
      <c r="AK14" s="4"/>
      <c r="AL14" s="28"/>
      <c r="AM14" s="62"/>
      <c r="AN14" s="4"/>
      <c r="AO14" s="4"/>
      <c r="AP14" s="4"/>
      <c r="AQ14" s="28"/>
      <c r="AR14" s="62"/>
      <c r="AS14" s="4"/>
      <c r="AT14" s="4"/>
      <c r="AU14" s="4"/>
      <c r="AV14" s="28"/>
      <c r="AW14" s="62"/>
      <c r="AX14" s="4"/>
      <c r="AY14" s="4"/>
      <c r="AZ14" s="4"/>
      <c r="BA14" s="28"/>
      <c r="BB14" s="62"/>
      <c r="BC14" s="4"/>
      <c r="BD14" s="4"/>
      <c r="BE14" s="4"/>
      <c r="BF14" s="28"/>
      <c r="BG14" s="18"/>
      <c r="BH14" s="18"/>
      <c r="BI14" s="72"/>
    </row>
    <row r="15" spans="1:61" x14ac:dyDescent="0.35">
      <c r="A15" s="68" t="s">
        <v>58</v>
      </c>
      <c r="B15" s="17" t="s">
        <v>116</v>
      </c>
      <c r="C15" s="28"/>
      <c r="D15" s="62"/>
      <c r="E15" s="4"/>
      <c r="F15" s="4"/>
      <c r="G15" s="4"/>
      <c r="H15" s="28"/>
      <c r="I15" s="62"/>
      <c r="J15" s="4"/>
      <c r="K15" s="4"/>
      <c r="L15" s="4"/>
      <c r="M15" s="28"/>
      <c r="N15" s="62"/>
      <c r="O15" s="4"/>
      <c r="P15" s="4"/>
      <c r="Q15" s="4"/>
      <c r="R15" s="28"/>
      <c r="S15" s="62"/>
      <c r="T15" s="4"/>
      <c r="U15" s="4"/>
      <c r="V15" s="4"/>
      <c r="W15" s="28"/>
      <c r="X15" s="62"/>
      <c r="Y15" s="4"/>
      <c r="Z15" s="4"/>
      <c r="AA15" s="4"/>
      <c r="AB15" s="28"/>
      <c r="AC15" s="62"/>
      <c r="AD15" s="4"/>
      <c r="AE15" s="4"/>
      <c r="AF15" s="4"/>
      <c r="AG15" s="28"/>
      <c r="AH15" s="62"/>
      <c r="AI15" s="4"/>
      <c r="AJ15" s="4"/>
      <c r="AK15" s="4"/>
      <c r="AL15" s="28"/>
      <c r="AM15" s="62"/>
      <c r="AN15" s="4"/>
      <c r="AO15" s="4"/>
      <c r="AP15" s="4"/>
      <c r="AQ15" s="28"/>
      <c r="AR15" s="62"/>
      <c r="AS15" s="4"/>
      <c r="AT15" s="4"/>
      <c r="AU15" s="4"/>
      <c r="AV15" s="28"/>
      <c r="AW15" s="62"/>
      <c r="AX15" s="4"/>
      <c r="AY15" s="4"/>
      <c r="AZ15" s="4"/>
      <c r="BA15" s="28"/>
      <c r="BB15" s="62"/>
      <c r="BC15" s="4"/>
      <c r="BD15" s="4"/>
      <c r="BE15" s="4"/>
      <c r="BF15" s="28"/>
      <c r="BG15" s="18"/>
      <c r="BH15" s="18"/>
      <c r="BI15" s="72"/>
    </row>
    <row r="16" spans="1:61" x14ac:dyDescent="0.35">
      <c r="A16" s="68" t="s">
        <v>59</v>
      </c>
      <c r="B16" s="17" t="s">
        <v>115</v>
      </c>
      <c r="C16" s="28"/>
      <c r="D16" s="62"/>
      <c r="E16" s="4"/>
      <c r="F16" s="4"/>
      <c r="G16" s="4"/>
      <c r="H16" s="28"/>
      <c r="I16" s="62"/>
      <c r="J16" s="4"/>
      <c r="K16" s="4"/>
      <c r="L16" s="4"/>
      <c r="M16" s="28"/>
      <c r="N16" s="62"/>
      <c r="O16" s="4"/>
      <c r="P16" s="4"/>
      <c r="Q16" s="4"/>
      <c r="R16" s="28"/>
      <c r="S16" s="62"/>
      <c r="T16" s="4"/>
      <c r="U16" s="4"/>
      <c r="V16" s="4"/>
      <c r="W16" s="28"/>
      <c r="X16" s="62"/>
      <c r="Y16" s="4"/>
      <c r="Z16" s="4"/>
      <c r="AA16" s="4"/>
      <c r="AB16" s="28"/>
      <c r="AC16" s="62"/>
      <c r="AD16" s="4"/>
      <c r="AE16" s="4"/>
      <c r="AF16" s="4"/>
      <c r="AG16" s="28"/>
      <c r="AH16" s="62"/>
      <c r="AI16" s="4"/>
      <c r="AJ16" s="4"/>
      <c r="AK16" s="4"/>
      <c r="AL16" s="28"/>
      <c r="AM16" s="62"/>
      <c r="AN16" s="4"/>
      <c r="AO16" s="4"/>
      <c r="AP16" s="4"/>
      <c r="AQ16" s="28"/>
      <c r="AR16" s="62"/>
      <c r="AS16" s="4"/>
      <c r="AT16" s="4"/>
      <c r="AU16" s="4"/>
      <c r="AV16" s="28"/>
      <c r="AW16" s="62"/>
      <c r="AX16" s="4"/>
      <c r="AY16" s="4"/>
      <c r="AZ16" s="4"/>
      <c r="BA16" s="28"/>
      <c r="BB16" s="62"/>
      <c r="BC16" s="4"/>
      <c r="BD16" s="4"/>
      <c r="BE16" s="4"/>
      <c r="BF16" s="28"/>
      <c r="BG16" s="18"/>
      <c r="BH16" s="18"/>
      <c r="BI16" s="72"/>
    </row>
    <row r="17" spans="1:61" x14ac:dyDescent="0.35">
      <c r="A17" s="68" t="s">
        <v>60</v>
      </c>
      <c r="B17" s="17" t="s">
        <v>2</v>
      </c>
      <c r="C17" s="28"/>
      <c r="D17" s="62"/>
      <c r="E17" s="4"/>
      <c r="F17" s="4"/>
      <c r="G17" s="4"/>
      <c r="H17" s="28"/>
      <c r="I17" s="62"/>
      <c r="J17" s="4"/>
      <c r="K17" s="4"/>
      <c r="L17" s="4"/>
      <c r="M17" s="28"/>
      <c r="N17" s="62"/>
      <c r="O17" s="4"/>
      <c r="P17" s="4"/>
      <c r="Q17" s="4"/>
      <c r="R17" s="28"/>
      <c r="S17" s="62"/>
      <c r="T17" s="4"/>
      <c r="U17" s="4"/>
      <c r="V17" s="4"/>
      <c r="W17" s="28"/>
      <c r="X17" s="62"/>
      <c r="Y17" s="4"/>
      <c r="Z17" s="4"/>
      <c r="AA17" s="4"/>
      <c r="AB17" s="28"/>
      <c r="AC17" s="62"/>
      <c r="AD17" s="4"/>
      <c r="AE17" s="4"/>
      <c r="AF17" s="4"/>
      <c r="AG17" s="28"/>
      <c r="AH17" s="62"/>
      <c r="AI17" s="4"/>
      <c r="AJ17" s="4"/>
      <c r="AK17" s="4"/>
      <c r="AL17" s="28"/>
      <c r="AM17" s="62"/>
      <c r="AN17" s="4"/>
      <c r="AO17" s="4"/>
      <c r="AP17" s="4"/>
      <c r="AQ17" s="28"/>
      <c r="AR17" s="62"/>
      <c r="AS17" s="4"/>
      <c r="AT17" s="4"/>
      <c r="AU17" s="4"/>
      <c r="AV17" s="28"/>
      <c r="AW17" s="62"/>
      <c r="AX17" s="4"/>
      <c r="AY17" s="4"/>
      <c r="AZ17" s="4"/>
      <c r="BA17" s="28"/>
      <c r="BB17" s="62"/>
      <c r="BC17" s="4"/>
      <c r="BD17" s="4"/>
      <c r="BE17" s="4"/>
      <c r="BF17" s="28"/>
      <c r="BG17" s="18"/>
      <c r="BH17" s="18"/>
      <c r="BI17" s="72"/>
    </row>
    <row r="18" spans="1:61" x14ac:dyDescent="0.35">
      <c r="A18" s="68" t="s">
        <v>61</v>
      </c>
      <c r="B18" s="17" t="s">
        <v>21</v>
      </c>
      <c r="C18" s="28"/>
      <c r="D18" s="62"/>
      <c r="E18" s="4"/>
      <c r="F18" s="4"/>
      <c r="G18" s="4"/>
      <c r="H18" s="28"/>
      <c r="I18" s="62"/>
      <c r="J18" s="4"/>
      <c r="K18" s="4"/>
      <c r="L18" s="4"/>
      <c r="M18" s="28"/>
      <c r="N18" s="62"/>
      <c r="O18" s="4"/>
      <c r="P18" s="4"/>
      <c r="Q18" s="4"/>
      <c r="R18" s="28"/>
      <c r="S18" s="62"/>
      <c r="T18" s="4"/>
      <c r="U18" s="4"/>
      <c r="V18" s="4"/>
      <c r="W18" s="28"/>
      <c r="X18" s="62"/>
      <c r="Y18" s="4"/>
      <c r="Z18" s="4"/>
      <c r="AA18" s="4"/>
      <c r="AB18" s="28"/>
      <c r="AC18" s="62"/>
      <c r="AD18" s="4"/>
      <c r="AE18" s="4"/>
      <c r="AF18" s="4"/>
      <c r="AG18" s="28"/>
      <c r="AH18" s="62"/>
      <c r="AI18" s="4"/>
      <c r="AJ18" s="4"/>
      <c r="AK18" s="4"/>
      <c r="AL18" s="28"/>
      <c r="AM18" s="62"/>
      <c r="AN18" s="4"/>
      <c r="AO18" s="4"/>
      <c r="AP18" s="4"/>
      <c r="AQ18" s="28"/>
      <c r="AR18" s="62"/>
      <c r="AS18" s="4"/>
      <c r="AT18" s="4"/>
      <c r="AU18" s="4"/>
      <c r="AV18" s="28"/>
      <c r="AW18" s="62"/>
      <c r="AX18" s="4"/>
      <c r="AY18" s="4"/>
      <c r="AZ18" s="4"/>
      <c r="BA18" s="28"/>
      <c r="BB18" s="62"/>
      <c r="BC18" s="4"/>
      <c r="BD18" s="4"/>
      <c r="BE18" s="4"/>
      <c r="BF18" s="28"/>
      <c r="BG18" s="18"/>
      <c r="BH18" s="18"/>
      <c r="BI18" s="72"/>
    </row>
    <row r="19" spans="1:61" x14ac:dyDescent="0.35">
      <c r="A19" s="69" t="s">
        <v>118</v>
      </c>
      <c r="B19" s="29" t="s">
        <v>119</v>
      </c>
      <c r="C19" s="30"/>
      <c r="D19" s="63"/>
      <c r="E19" s="64"/>
      <c r="F19" s="64"/>
      <c r="G19" s="64"/>
      <c r="H19" s="30"/>
      <c r="I19" s="63"/>
      <c r="J19" s="64"/>
      <c r="K19" s="64"/>
      <c r="L19" s="64"/>
      <c r="M19" s="30"/>
      <c r="N19" s="63"/>
      <c r="O19" s="64"/>
      <c r="P19" s="64"/>
      <c r="Q19" s="64"/>
      <c r="R19" s="30"/>
      <c r="S19" s="63"/>
      <c r="T19" s="64"/>
      <c r="U19" s="64"/>
      <c r="V19" s="64"/>
      <c r="W19" s="30"/>
      <c r="X19" s="63"/>
      <c r="Y19" s="64"/>
      <c r="Z19" s="64"/>
      <c r="AA19" s="64"/>
      <c r="AB19" s="30"/>
      <c r="AC19" s="63"/>
      <c r="AD19" s="64"/>
      <c r="AE19" s="64"/>
      <c r="AF19" s="64"/>
      <c r="AG19" s="30"/>
      <c r="AH19" s="63"/>
      <c r="AI19" s="64"/>
      <c r="AJ19" s="64"/>
      <c r="AK19" s="64"/>
      <c r="AL19" s="30"/>
      <c r="AM19" s="63"/>
      <c r="AN19" s="64"/>
      <c r="AO19" s="64"/>
      <c r="AP19" s="64"/>
      <c r="AQ19" s="30"/>
      <c r="AR19" s="63"/>
      <c r="AS19" s="64"/>
      <c r="AT19" s="64"/>
      <c r="AU19" s="64"/>
      <c r="AV19" s="30"/>
      <c r="AW19" s="63"/>
      <c r="AX19" s="64"/>
      <c r="AY19" s="64"/>
      <c r="AZ19" s="64"/>
      <c r="BA19" s="30"/>
      <c r="BB19" s="63"/>
      <c r="BC19" s="64"/>
      <c r="BD19" s="64"/>
      <c r="BE19" s="64"/>
      <c r="BF19" s="30"/>
      <c r="BG19" s="24"/>
      <c r="BH19" s="24"/>
      <c r="BI19" s="73"/>
    </row>
    <row r="20" spans="1:61" x14ac:dyDescent="0.35">
      <c r="AW20" s="143" t="s">
        <v>86</v>
      </c>
      <c r="AX20" s="144"/>
      <c r="AY20" s="144"/>
      <c r="AZ20" s="144"/>
      <c r="BA20" s="144"/>
      <c r="BB20" s="144"/>
      <c r="BC20" s="144"/>
      <c r="BD20" s="144"/>
      <c r="BE20" s="144"/>
      <c r="BF20" s="145"/>
      <c r="BG20" s="41">
        <f>BG10+BG5</f>
        <v>56</v>
      </c>
      <c r="BH20" s="41">
        <f>BH10+BH5</f>
        <v>56</v>
      </c>
      <c r="BI20" s="70">
        <f>BI10+BI5</f>
        <v>112</v>
      </c>
    </row>
    <row r="21" spans="1:61" x14ac:dyDescent="0.35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/>
      <c r="AX21"/>
      <c r="AY21"/>
      <c r="AZ21"/>
      <c r="BA21"/>
      <c r="BB21"/>
      <c r="BC21"/>
      <c r="BD21"/>
      <c r="BE21"/>
      <c r="BF21"/>
    </row>
    <row r="22" spans="1:61" x14ac:dyDescent="0.35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3"/>
      <c r="BH22" s="3"/>
      <c r="BI22" s="3"/>
    </row>
    <row r="23" spans="1:61" x14ac:dyDescent="0.35">
      <c r="A23" s="49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3"/>
      <c r="BH23" s="3"/>
      <c r="BI23" s="3"/>
    </row>
    <row r="24" spans="1:61" x14ac:dyDescent="0.35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146"/>
      <c r="BH24" s="146"/>
      <c r="BI24" s="146"/>
    </row>
    <row r="25" spans="1:61" x14ac:dyDescent="0.3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</row>
    <row r="26" spans="1:61" x14ac:dyDescent="0.35">
      <c r="A26" s="2"/>
      <c r="B26" s="49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3"/>
      <c r="BH26" s="3"/>
      <c r="BI26" s="3"/>
    </row>
    <row r="27" spans="1:61" x14ac:dyDescent="0.35">
      <c r="A27" s="2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3"/>
      <c r="BH27" s="3"/>
      <c r="BI27" s="3"/>
    </row>
    <row r="28" spans="1:61" x14ac:dyDescent="0.35">
      <c r="A28" s="2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3"/>
      <c r="BH28" s="3"/>
      <c r="BI28" s="3"/>
    </row>
    <row r="29" spans="1:61" x14ac:dyDescent="0.35">
      <c r="A29" s="2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3"/>
      <c r="BH29" s="3"/>
      <c r="BI29" s="3"/>
    </row>
    <row r="30" spans="1:61" x14ac:dyDescent="0.35">
      <c r="A30" s="2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3"/>
      <c r="BH30" s="3"/>
      <c r="BI30" s="3"/>
    </row>
    <row r="31" spans="1:61" x14ac:dyDescent="0.35">
      <c r="A31" s="3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146"/>
      <c r="AX31" s="146"/>
      <c r="AY31" s="146"/>
      <c r="AZ31" s="146"/>
      <c r="BA31" s="146"/>
      <c r="BB31" s="146"/>
      <c r="BC31" s="146"/>
      <c r="BD31" s="146"/>
      <c r="BE31" s="146"/>
      <c r="BF31" s="146"/>
      <c r="BG31" s="4"/>
      <c r="BH31" s="4"/>
      <c r="BI31" s="75"/>
    </row>
    <row r="32" spans="1:61" x14ac:dyDescent="0.35">
      <c r="A32" s="3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146"/>
      <c r="AX32" s="146"/>
      <c r="AY32" s="146"/>
      <c r="AZ32" s="146"/>
      <c r="BA32" s="146"/>
      <c r="BB32" s="146"/>
      <c r="BC32" s="146"/>
      <c r="BD32" s="146"/>
      <c r="BE32" s="146"/>
      <c r="BF32" s="146"/>
      <c r="BG32" s="4"/>
      <c r="BH32" s="4"/>
      <c r="BI32" s="4"/>
    </row>
    <row r="33" spans="1:61" x14ac:dyDescent="0.35">
      <c r="BG33" s="3"/>
      <c r="BH33" s="3"/>
      <c r="BI33" s="3"/>
    </row>
    <row r="34" spans="1:61" x14ac:dyDescent="0.35">
      <c r="A34" s="76"/>
      <c r="BG34" s="3"/>
      <c r="BH34" s="3"/>
      <c r="BI34" s="3"/>
    </row>
    <row r="35" spans="1:61" x14ac:dyDescent="0.35">
      <c r="BG35" s="146"/>
      <c r="BH35" s="146"/>
      <c r="BI35" s="146"/>
    </row>
    <row r="36" spans="1:61" x14ac:dyDescent="0.35">
      <c r="BG36" s="4"/>
      <c r="BH36" s="4"/>
      <c r="BI36" s="4"/>
    </row>
    <row r="37" spans="1:61" x14ac:dyDescent="0.35">
      <c r="A37" s="2"/>
      <c r="B37" s="49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3"/>
      <c r="BH37" s="3"/>
      <c r="BI37" s="3"/>
    </row>
    <row r="38" spans="1:61" x14ac:dyDescent="0.35">
      <c r="A38" s="2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3"/>
      <c r="BH38" s="3"/>
      <c r="BI38" s="3"/>
    </row>
    <row r="39" spans="1:61" x14ac:dyDescent="0.35">
      <c r="A39" s="2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3"/>
      <c r="BH39" s="3"/>
      <c r="BI39" s="3"/>
    </row>
    <row r="40" spans="1:61" x14ac:dyDescent="0.35">
      <c r="A40" s="3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4"/>
      <c r="BH40" s="4"/>
      <c r="BI40" s="75"/>
    </row>
    <row r="41" spans="1:61" x14ac:dyDescent="0.35">
      <c r="A41" s="3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146"/>
      <c r="AX41" s="146"/>
      <c r="AY41" s="146"/>
      <c r="AZ41" s="146"/>
      <c r="BA41" s="146"/>
      <c r="BB41" s="146"/>
      <c r="BC41" s="146"/>
      <c r="BD41" s="146"/>
      <c r="BE41" s="146"/>
      <c r="BF41" s="146"/>
      <c r="BG41" s="4"/>
      <c r="BH41" s="4"/>
      <c r="BI41" s="4"/>
    </row>
    <row r="42" spans="1:61" x14ac:dyDescent="0.35">
      <c r="A42" s="3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3"/>
      <c r="BH42" s="3"/>
      <c r="BI42" s="3"/>
    </row>
    <row r="43" spans="1:61" x14ac:dyDescent="0.35">
      <c r="A43" s="3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3"/>
      <c r="BH43" s="3"/>
      <c r="BI43" s="3"/>
    </row>
    <row r="44" spans="1:61" x14ac:dyDescent="0.35">
      <c r="A44" s="3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3"/>
      <c r="BH44" s="3"/>
      <c r="BI44" s="3"/>
    </row>
    <row r="45" spans="1:61" x14ac:dyDescent="0.35">
      <c r="A45" s="3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3"/>
      <c r="BH45" s="3"/>
      <c r="BI45" s="3"/>
    </row>
    <row r="46" spans="1:61" x14ac:dyDescent="0.35">
      <c r="A46" s="3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3"/>
      <c r="BH46" s="3"/>
      <c r="BI46" s="3"/>
    </row>
    <row r="47" spans="1:61" x14ac:dyDescent="0.35">
      <c r="A47" s="3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3"/>
      <c r="BH47" s="3"/>
      <c r="BI47" s="3"/>
    </row>
    <row r="48" spans="1:61" x14ac:dyDescent="0.35">
      <c r="A48" s="3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3"/>
      <c r="BH48" s="3"/>
      <c r="BI48" s="3"/>
    </row>
    <row r="49" spans="1:61" x14ac:dyDescent="0.35">
      <c r="A49" s="3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3"/>
      <c r="BH49" s="3"/>
      <c r="BI49" s="3"/>
    </row>
    <row r="50" spans="1:61" x14ac:dyDescent="0.35">
      <c r="A50" s="3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3"/>
      <c r="BH50" s="3"/>
      <c r="BI50" s="3"/>
    </row>
    <row r="51" spans="1:61" x14ac:dyDescent="0.35">
      <c r="A51" s="3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3"/>
      <c r="BH51" s="3"/>
      <c r="BI51" s="3"/>
    </row>
    <row r="52" spans="1:61" x14ac:dyDescent="0.35">
      <c r="A52" s="3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3"/>
      <c r="BH52" s="3"/>
      <c r="BI52" s="3"/>
    </row>
    <row r="53" spans="1:61" x14ac:dyDescent="0.35">
      <c r="A53" s="3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3"/>
      <c r="BH53" s="3"/>
      <c r="BI53" s="3"/>
    </row>
    <row r="54" spans="1:61" x14ac:dyDescent="0.35">
      <c r="A54" s="3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3"/>
      <c r="BH54" s="3"/>
      <c r="BI54" s="3"/>
    </row>
    <row r="55" spans="1:61" x14ac:dyDescent="0.35">
      <c r="A55" s="3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3"/>
      <c r="BH55" s="3"/>
      <c r="BI55" s="3"/>
    </row>
    <row r="56" spans="1:61" x14ac:dyDescent="0.35">
      <c r="A56" s="3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3"/>
      <c r="BH56" s="3"/>
      <c r="BI56" s="3"/>
    </row>
    <row r="57" spans="1:61" x14ac:dyDescent="0.35">
      <c r="A57" s="3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3"/>
      <c r="BH57" s="3"/>
      <c r="BI57" s="3"/>
    </row>
    <row r="58" spans="1:61" x14ac:dyDescent="0.35">
      <c r="A58" s="3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3"/>
      <c r="BH58" s="3"/>
      <c r="BI58" s="3"/>
    </row>
    <row r="59" spans="1:61" x14ac:dyDescent="0.35">
      <c r="A59" s="3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3"/>
      <c r="BH59" s="3"/>
      <c r="BI59" s="3"/>
    </row>
    <row r="60" spans="1:61" x14ac:dyDescent="0.35">
      <c r="A60" s="3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3"/>
      <c r="BH60" s="3"/>
      <c r="BI60" s="3"/>
    </row>
    <row r="61" spans="1:61" x14ac:dyDescent="0.35">
      <c r="A61" s="3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3"/>
      <c r="BH61" s="3"/>
      <c r="BI61" s="3"/>
    </row>
    <row r="62" spans="1:61" x14ac:dyDescent="0.35">
      <c r="A62" s="3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3"/>
      <c r="BH62" s="3"/>
      <c r="BI62" s="3"/>
    </row>
    <row r="63" spans="1:61" x14ac:dyDescent="0.35">
      <c r="A63" s="3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3"/>
      <c r="BH63" s="3"/>
      <c r="BI63" s="3"/>
    </row>
    <row r="64" spans="1:61" x14ac:dyDescent="0.35">
      <c r="A64" s="3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3"/>
      <c r="BH64" s="3"/>
      <c r="BI64" s="3"/>
    </row>
    <row r="65" spans="1:61" x14ac:dyDescent="0.35">
      <c r="A65" s="3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3"/>
      <c r="BH65" s="3"/>
      <c r="BI65" s="3"/>
    </row>
    <row r="66" spans="1:61" x14ac:dyDescent="0.35">
      <c r="A66" s="3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3"/>
      <c r="BH66" s="3"/>
      <c r="BI66" s="3"/>
    </row>
    <row r="67" spans="1:61" x14ac:dyDescent="0.35">
      <c r="A67" s="3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3"/>
      <c r="BH67" s="3"/>
      <c r="BI67" s="3"/>
    </row>
    <row r="68" spans="1:61" x14ac:dyDescent="0.35">
      <c r="A68" s="3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3"/>
      <c r="BH68" s="3"/>
      <c r="BI68" s="3"/>
    </row>
    <row r="69" spans="1:61" x14ac:dyDescent="0.35">
      <c r="A69" s="3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3"/>
      <c r="BH69" s="3"/>
      <c r="BI69" s="3"/>
    </row>
    <row r="70" spans="1:61" x14ac:dyDescent="0.35">
      <c r="A70" s="3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3"/>
      <c r="BH70" s="3"/>
      <c r="BI70" s="3"/>
    </row>
    <row r="71" spans="1:61" x14ac:dyDescent="0.35">
      <c r="A71" s="3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3"/>
      <c r="BH71" s="3"/>
      <c r="BI71" s="3"/>
    </row>
    <row r="72" spans="1:61" x14ac:dyDescent="0.35">
      <c r="A72" s="3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3"/>
      <c r="BH72" s="3"/>
      <c r="BI72" s="3"/>
    </row>
    <row r="73" spans="1:61" x14ac:dyDescent="0.35">
      <c r="BI73" s="3"/>
    </row>
    <row r="74" spans="1:61" x14ac:dyDescent="0.35">
      <c r="BI74" s="3"/>
    </row>
  </sheetData>
  <mergeCells count="20">
    <mergeCell ref="AW40:BF40"/>
    <mergeCell ref="AW41:BF41"/>
    <mergeCell ref="BG35:BI35"/>
    <mergeCell ref="AW20:BF20"/>
    <mergeCell ref="BG3:BI3"/>
    <mergeCell ref="AW31:BF31"/>
    <mergeCell ref="AW32:BF32"/>
    <mergeCell ref="BG24:BI24"/>
    <mergeCell ref="AW4:BA4"/>
    <mergeCell ref="BB4:BF4"/>
    <mergeCell ref="A1:BI1"/>
    <mergeCell ref="D4:H4"/>
    <mergeCell ref="I4:M4"/>
    <mergeCell ref="N4:R4"/>
    <mergeCell ref="S4:W4"/>
    <mergeCell ref="X4:AB4"/>
    <mergeCell ref="AC4:AG4"/>
    <mergeCell ref="AH4:AL4"/>
    <mergeCell ref="AM4:AQ4"/>
    <mergeCell ref="AR4:AV4"/>
  </mergeCells>
  <pageMargins left="0.7" right="0.7" top="0.75" bottom="0.75" header="0.3" footer="0.3"/>
  <pageSetup paperSize="8" orientation="landscape" r:id="rId1"/>
  <headerFooter>
    <oddHeader>&amp;CMF1024 Produktutveckling VT2019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4"/>
  <sheetViews>
    <sheetView zoomScaleNormal="100" workbookViewId="0">
      <selection activeCell="D4" sqref="D4:BF4"/>
    </sheetView>
  </sheetViews>
  <sheetFormatPr defaultRowHeight="14.5" x14ac:dyDescent="0.35"/>
  <cols>
    <col min="1" max="1" width="5" style="50" customWidth="1"/>
    <col min="2" max="2" width="40.7265625" style="3" customWidth="1"/>
    <col min="3" max="3" width="7.7265625" style="4" customWidth="1"/>
    <col min="4" max="17" width="1.7265625" style="4" customWidth="1"/>
    <col min="18" max="23" width="1.81640625" style="4" customWidth="1"/>
    <col min="24" max="32" width="1.7265625" style="4" customWidth="1"/>
    <col min="33" max="43" width="1.81640625" style="4" customWidth="1"/>
    <col min="44" max="58" width="1.7265625" style="4" customWidth="1"/>
    <col min="59" max="62" width="9.1796875" style="3"/>
  </cols>
  <sheetData>
    <row r="1" spans="1:62" ht="18.5" x14ac:dyDescent="0.45">
      <c r="A1" s="142" t="s">
        <v>132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</row>
    <row r="2" spans="1:62" ht="18.5" x14ac:dyDescent="0.4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</row>
    <row r="3" spans="1:62" x14ac:dyDescent="0.35">
      <c r="A3" s="66" t="s">
        <v>32</v>
      </c>
      <c r="BG3" s="143" t="s">
        <v>121</v>
      </c>
      <c r="BH3" s="144"/>
      <c r="BI3" s="145"/>
      <c r="BJ3"/>
    </row>
    <row r="4" spans="1:62" x14ac:dyDescent="0.35">
      <c r="C4" s="6" t="s">
        <v>68</v>
      </c>
      <c r="D4" s="143" t="s">
        <v>149</v>
      </c>
      <c r="E4" s="144"/>
      <c r="F4" s="144"/>
      <c r="G4" s="144"/>
      <c r="H4" s="145"/>
      <c r="I4" s="143" t="s">
        <v>150</v>
      </c>
      <c r="J4" s="144"/>
      <c r="K4" s="144"/>
      <c r="L4" s="144"/>
      <c r="M4" s="145"/>
      <c r="N4" s="143" t="s">
        <v>151</v>
      </c>
      <c r="O4" s="144"/>
      <c r="P4" s="144"/>
      <c r="Q4" s="144"/>
      <c r="R4" s="145"/>
      <c r="S4" s="143" t="s">
        <v>152</v>
      </c>
      <c r="T4" s="144"/>
      <c r="U4" s="144"/>
      <c r="V4" s="144"/>
      <c r="W4" s="144"/>
      <c r="X4" s="143" t="s">
        <v>153</v>
      </c>
      <c r="Y4" s="144"/>
      <c r="Z4" s="144"/>
      <c r="AA4" s="144"/>
      <c r="AB4" s="145"/>
      <c r="AC4" s="144" t="s">
        <v>154</v>
      </c>
      <c r="AD4" s="144"/>
      <c r="AE4" s="144"/>
      <c r="AF4" s="144"/>
      <c r="AG4" s="145"/>
      <c r="AH4" s="143" t="s">
        <v>156</v>
      </c>
      <c r="AI4" s="144"/>
      <c r="AJ4" s="144"/>
      <c r="AK4" s="144"/>
      <c r="AL4" s="145"/>
      <c r="AM4" s="143" t="s">
        <v>157</v>
      </c>
      <c r="AN4" s="144"/>
      <c r="AO4" s="144"/>
      <c r="AP4" s="144"/>
      <c r="AQ4" s="145"/>
      <c r="AR4" s="143" t="s">
        <v>158</v>
      </c>
      <c r="AS4" s="144"/>
      <c r="AT4" s="144"/>
      <c r="AU4" s="144"/>
      <c r="AV4" s="145"/>
      <c r="AW4" s="143" t="s">
        <v>159</v>
      </c>
      <c r="AX4" s="144"/>
      <c r="AY4" s="144"/>
      <c r="AZ4" s="144"/>
      <c r="BA4" s="145"/>
      <c r="BB4" s="143" t="s">
        <v>160</v>
      </c>
      <c r="BC4" s="144"/>
      <c r="BD4" s="144"/>
      <c r="BE4" s="144"/>
      <c r="BF4" s="145"/>
      <c r="BG4" s="78" t="s">
        <v>62</v>
      </c>
      <c r="BH4" s="6" t="s">
        <v>63</v>
      </c>
      <c r="BI4" s="6" t="s">
        <v>29</v>
      </c>
      <c r="BJ4"/>
    </row>
    <row r="5" spans="1:62" x14ac:dyDescent="0.35">
      <c r="A5" s="57">
        <v>1</v>
      </c>
      <c r="B5" s="58" t="s">
        <v>74</v>
      </c>
      <c r="C5" s="9"/>
      <c r="D5" s="59"/>
      <c r="E5" s="60"/>
      <c r="F5" s="60"/>
      <c r="G5" s="60"/>
      <c r="H5" s="61"/>
      <c r="I5" s="59"/>
      <c r="J5" s="60"/>
      <c r="K5" s="60"/>
      <c r="L5" s="60"/>
      <c r="M5" s="61"/>
      <c r="N5" s="59"/>
      <c r="O5" s="60"/>
      <c r="P5" s="60"/>
      <c r="Q5" s="60"/>
      <c r="R5" s="61"/>
      <c r="S5" s="59"/>
      <c r="T5" s="60"/>
      <c r="U5" s="60"/>
      <c r="V5" s="60"/>
      <c r="W5" s="61"/>
      <c r="X5" s="59"/>
      <c r="Y5" s="60"/>
      <c r="Z5" s="60"/>
      <c r="AA5" s="60"/>
      <c r="AB5" s="61"/>
      <c r="AC5" s="59"/>
      <c r="AD5" s="60"/>
      <c r="AE5" s="60"/>
      <c r="AF5" s="60"/>
      <c r="AG5" s="61"/>
      <c r="AH5" s="59"/>
      <c r="AI5" s="60"/>
      <c r="AJ5" s="60"/>
      <c r="AK5" s="60"/>
      <c r="AL5" s="61"/>
      <c r="AM5" s="59"/>
      <c r="AN5" s="60"/>
      <c r="AO5" s="60"/>
      <c r="AP5" s="60"/>
      <c r="AQ5" s="61"/>
      <c r="AR5" s="59"/>
      <c r="AS5" s="60"/>
      <c r="AT5" s="60"/>
      <c r="AU5" s="60"/>
      <c r="AV5" s="61"/>
      <c r="AW5" s="59"/>
      <c r="AX5" s="60"/>
      <c r="AY5" s="60"/>
      <c r="AZ5" s="60"/>
      <c r="BA5" s="61"/>
      <c r="BB5" s="59"/>
      <c r="BC5" s="60"/>
      <c r="BD5" s="60"/>
      <c r="BE5" s="60"/>
      <c r="BF5" s="61"/>
      <c r="BG5" s="9">
        <v>16</v>
      </c>
      <c r="BH5" s="9"/>
      <c r="BI5" s="74">
        <f>SUM(BG5:BH5)</f>
        <v>16</v>
      </c>
      <c r="BJ5"/>
    </row>
    <row r="6" spans="1:62" x14ac:dyDescent="0.35">
      <c r="A6" s="18" t="s">
        <v>7</v>
      </c>
      <c r="B6" s="20" t="s">
        <v>47</v>
      </c>
      <c r="C6" s="18"/>
      <c r="D6" s="62"/>
      <c r="H6" s="28"/>
      <c r="I6" s="62"/>
      <c r="M6" s="28"/>
      <c r="N6" s="62"/>
      <c r="R6" s="28"/>
      <c r="S6" s="62"/>
      <c r="W6" s="28"/>
      <c r="X6" s="62"/>
      <c r="AB6" s="28"/>
      <c r="AC6" s="62"/>
      <c r="AG6" s="28"/>
      <c r="AH6" s="62"/>
      <c r="AL6" s="28"/>
      <c r="AM6" s="62"/>
      <c r="AQ6" s="28"/>
      <c r="AR6" s="62"/>
      <c r="AV6" s="28"/>
      <c r="AW6" s="62"/>
      <c r="BA6" s="28"/>
      <c r="BB6" s="62"/>
      <c r="BF6" s="28"/>
      <c r="BG6" s="18"/>
      <c r="BH6" s="18"/>
      <c r="BI6" s="21"/>
      <c r="BJ6"/>
    </row>
    <row r="7" spans="1:62" x14ac:dyDescent="0.35">
      <c r="A7" s="18" t="s">
        <v>8</v>
      </c>
      <c r="B7" s="20" t="s">
        <v>145</v>
      </c>
      <c r="C7" s="18"/>
      <c r="D7" s="62"/>
      <c r="H7" s="28"/>
      <c r="I7" s="62"/>
      <c r="M7" s="28"/>
      <c r="N7" s="62"/>
      <c r="R7" s="28"/>
      <c r="S7" s="62"/>
      <c r="W7" s="28"/>
      <c r="X7" s="62"/>
      <c r="AB7" s="28"/>
      <c r="AC7" s="62"/>
      <c r="AG7" s="28"/>
      <c r="AH7" s="62"/>
      <c r="AL7" s="28"/>
      <c r="AM7" s="62"/>
      <c r="AQ7" s="28"/>
      <c r="AR7" s="62"/>
      <c r="AV7" s="28"/>
      <c r="AW7" s="62"/>
      <c r="BA7" s="28"/>
      <c r="BB7" s="62"/>
      <c r="BF7" s="28"/>
      <c r="BG7" s="18"/>
      <c r="BH7" s="18"/>
      <c r="BI7" s="21"/>
      <c r="BJ7"/>
    </row>
    <row r="8" spans="1:62" x14ac:dyDescent="0.35">
      <c r="A8" s="18" t="s">
        <v>77</v>
      </c>
      <c r="B8" s="20" t="s">
        <v>34</v>
      </c>
      <c r="C8" s="18"/>
      <c r="D8" s="62"/>
      <c r="H8" s="28"/>
      <c r="I8" s="62"/>
      <c r="M8" s="28"/>
      <c r="N8" s="62"/>
      <c r="R8" s="28"/>
      <c r="S8" s="62"/>
      <c r="W8" s="28"/>
      <c r="X8" s="62"/>
      <c r="AB8" s="28"/>
      <c r="AC8" s="62"/>
      <c r="AG8" s="28"/>
      <c r="AH8" s="62"/>
      <c r="AL8" s="28"/>
      <c r="AM8" s="62"/>
      <c r="AQ8" s="28"/>
      <c r="AR8" s="62"/>
      <c r="AV8" s="28"/>
      <c r="AW8" s="62"/>
      <c r="BA8" s="28"/>
      <c r="BB8" s="62"/>
      <c r="BF8" s="28"/>
      <c r="BG8" s="24"/>
      <c r="BH8" s="24"/>
      <c r="BI8" s="37"/>
      <c r="BJ8"/>
    </row>
    <row r="9" spans="1:62" x14ac:dyDescent="0.35">
      <c r="A9" s="57">
        <v>2</v>
      </c>
      <c r="B9" s="58" t="s">
        <v>73</v>
      </c>
      <c r="C9" s="9"/>
      <c r="D9" s="59"/>
      <c r="E9" s="60"/>
      <c r="F9" s="60"/>
      <c r="G9" s="60"/>
      <c r="H9" s="61"/>
      <c r="I9" s="59"/>
      <c r="J9" s="60"/>
      <c r="K9" s="60"/>
      <c r="L9" s="60"/>
      <c r="M9" s="61"/>
      <c r="N9" s="59"/>
      <c r="O9" s="60"/>
      <c r="P9" s="60"/>
      <c r="Q9" s="60"/>
      <c r="R9" s="61"/>
      <c r="S9" s="59"/>
      <c r="T9" s="60"/>
      <c r="U9" s="60"/>
      <c r="V9" s="60"/>
      <c r="W9" s="61"/>
      <c r="X9" s="59"/>
      <c r="Y9" s="60"/>
      <c r="Z9" s="60"/>
      <c r="AA9" s="60"/>
      <c r="AB9" s="61"/>
      <c r="AC9" s="59"/>
      <c r="AD9" s="60"/>
      <c r="AE9" s="60"/>
      <c r="AF9" s="60"/>
      <c r="AG9" s="61"/>
      <c r="AH9" s="59"/>
      <c r="AI9" s="60"/>
      <c r="AJ9" s="60"/>
      <c r="AK9" s="60"/>
      <c r="AL9" s="61"/>
      <c r="AM9" s="59"/>
      <c r="AN9" s="60"/>
      <c r="AO9" s="60"/>
      <c r="AP9" s="60"/>
      <c r="AQ9" s="61"/>
      <c r="AR9" s="59"/>
      <c r="AS9" s="60"/>
      <c r="AT9" s="60"/>
      <c r="AU9" s="60"/>
      <c r="AV9" s="61"/>
      <c r="AW9" s="59"/>
      <c r="AX9" s="60"/>
      <c r="AY9" s="60"/>
      <c r="AZ9" s="60"/>
      <c r="BA9" s="61"/>
      <c r="BB9" s="59"/>
      <c r="BC9" s="60"/>
      <c r="BD9" s="60"/>
      <c r="BE9" s="60"/>
      <c r="BF9" s="61"/>
      <c r="BG9" s="9">
        <f>56-BG5-BG18</f>
        <v>40</v>
      </c>
      <c r="BH9" s="9">
        <f>56-BH5-BH18</f>
        <v>40</v>
      </c>
      <c r="BI9" s="74">
        <f>2*56-BI5-BI18</f>
        <v>80</v>
      </c>
      <c r="BJ9"/>
    </row>
    <row r="10" spans="1:62" x14ac:dyDescent="0.35">
      <c r="A10" s="18" t="s">
        <v>9</v>
      </c>
      <c r="B10" s="20" t="s">
        <v>47</v>
      </c>
      <c r="C10" s="18"/>
      <c r="D10" s="62"/>
      <c r="H10" s="28"/>
      <c r="I10" s="62"/>
      <c r="M10" s="28"/>
      <c r="N10" s="62"/>
      <c r="R10" s="28"/>
      <c r="S10" s="62"/>
      <c r="W10" s="28"/>
      <c r="X10" s="62"/>
      <c r="AB10" s="28"/>
      <c r="AC10" s="62"/>
      <c r="AG10" s="28"/>
      <c r="AH10" s="62"/>
      <c r="AL10" s="28"/>
      <c r="AM10" s="62"/>
      <c r="AQ10" s="28"/>
      <c r="AR10" s="62"/>
      <c r="AV10" s="28"/>
      <c r="AW10" s="62"/>
      <c r="BA10" s="28"/>
      <c r="BB10" s="62"/>
      <c r="BF10" s="28"/>
      <c r="BG10" s="18"/>
      <c r="BH10" s="18"/>
      <c r="BI10" s="21"/>
      <c r="BJ10"/>
    </row>
    <row r="11" spans="1:62" x14ac:dyDescent="0.35">
      <c r="A11" s="18" t="s">
        <v>10</v>
      </c>
      <c r="B11" s="20" t="s">
        <v>145</v>
      </c>
      <c r="C11" s="18"/>
      <c r="D11" s="62"/>
      <c r="H11" s="28"/>
      <c r="I11" s="62"/>
      <c r="M11" s="28"/>
      <c r="N11" s="62"/>
      <c r="R11" s="28"/>
      <c r="S11" s="62"/>
      <c r="W11" s="28"/>
      <c r="X11" s="62"/>
      <c r="AB11" s="28"/>
      <c r="AC11" s="62"/>
      <c r="AG11" s="28"/>
      <c r="AH11" s="62"/>
      <c r="AL11" s="28"/>
      <c r="AM11" s="62"/>
      <c r="AQ11" s="28"/>
      <c r="AR11" s="62"/>
      <c r="AV11" s="28"/>
      <c r="AW11" s="62"/>
      <c r="BA11" s="28"/>
      <c r="BB11" s="62"/>
      <c r="BF11" s="28"/>
      <c r="BG11" s="18"/>
      <c r="BH11" s="18"/>
      <c r="BI11" s="21"/>
      <c r="BJ11"/>
    </row>
    <row r="12" spans="1:62" x14ac:dyDescent="0.35">
      <c r="A12" s="18" t="s">
        <v>11</v>
      </c>
      <c r="B12" s="20" t="s">
        <v>70</v>
      </c>
      <c r="C12" s="18"/>
      <c r="D12" s="62"/>
      <c r="H12" s="28"/>
      <c r="I12" s="62"/>
      <c r="M12" s="28"/>
      <c r="N12" s="62"/>
      <c r="R12" s="28"/>
      <c r="S12" s="62"/>
      <c r="W12" s="28"/>
      <c r="X12" s="62"/>
      <c r="AB12" s="28"/>
      <c r="AC12" s="62"/>
      <c r="AG12" s="28"/>
      <c r="AH12" s="62"/>
      <c r="AL12" s="28"/>
      <c r="AM12" s="62"/>
      <c r="AQ12" s="28"/>
      <c r="AR12" s="62"/>
      <c r="AV12" s="28"/>
      <c r="AW12" s="62"/>
      <c r="BA12" s="28"/>
      <c r="BB12" s="62"/>
      <c r="BF12" s="28"/>
      <c r="BG12" s="18"/>
      <c r="BH12" s="18"/>
      <c r="BI12" s="21"/>
      <c r="BJ12"/>
    </row>
    <row r="13" spans="1:62" x14ac:dyDescent="0.35">
      <c r="A13" s="18" t="s">
        <v>28</v>
      </c>
      <c r="B13" s="20" t="s">
        <v>71</v>
      </c>
      <c r="C13" s="18"/>
      <c r="D13" s="62"/>
      <c r="H13" s="28"/>
      <c r="I13" s="62"/>
      <c r="M13" s="28"/>
      <c r="N13" s="62"/>
      <c r="R13" s="28"/>
      <c r="S13" s="62"/>
      <c r="W13" s="28"/>
      <c r="X13" s="62"/>
      <c r="AB13" s="28"/>
      <c r="AC13" s="62"/>
      <c r="AG13" s="28"/>
      <c r="AH13" s="62"/>
      <c r="AL13" s="28"/>
      <c r="AM13" s="62"/>
      <c r="AQ13" s="28"/>
      <c r="AR13" s="62"/>
      <c r="AV13" s="28"/>
      <c r="AW13" s="62"/>
      <c r="BA13" s="28"/>
      <c r="BB13" s="62"/>
      <c r="BF13" s="28"/>
      <c r="BG13" s="18"/>
      <c r="BH13" s="18"/>
      <c r="BI13" s="21"/>
      <c r="BJ13"/>
    </row>
    <row r="14" spans="1:62" x14ac:dyDescent="0.35">
      <c r="A14" s="18" t="s">
        <v>58</v>
      </c>
      <c r="B14" s="20" t="s">
        <v>69</v>
      </c>
      <c r="C14" s="18"/>
      <c r="D14" s="62"/>
      <c r="H14" s="28"/>
      <c r="I14" s="62"/>
      <c r="M14" s="28"/>
      <c r="N14" s="62"/>
      <c r="R14" s="28"/>
      <c r="S14" s="62"/>
      <c r="W14" s="28"/>
      <c r="X14" s="62"/>
      <c r="AB14" s="28"/>
      <c r="AC14" s="62"/>
      <c r="AG14" s="28"/>
      <c r="AH14" s="62"/>
      <c r="AL14" s="28"/>
      <c r="AM14" s="62"/>
      <c r="AQ14" s="28"/>
      <c r="AR14" s="62"/>
      <c r="AV14" s="28"/>
      <c r="AW14" s="62"/>
      <c r="BA14" s="28"/>
      <c r="BB14" s="62"/>
      <c r="BF14" s="28"/>
      <c r="BG14" s="18"/>
      <c r="BH14" s="18"/>
      <c r="BI14" s="21"/>
      <c r="BJ14"/>
    </row>
    <row r="15" spans="1:62" x14ac:dyDescent="0.35">
      <c r="A15" s="18" t="s">
        <v>59</v>
      </c>
      <c r="B15" s="20" t="s">
        <v>72</v>
      </c>
      <c r="C15" s="18"/>
      <c r="D15" s="62"/>
      <c r="H15" s="28"/>
      <c r="I15" s="62"/>
      <c r="M15" s="28"/>
      <c r="N15" s="62"/>
      <c r="R15" s="28"/>
      <c r="S15" s="62"/>
      <c r="W15" s="28"/>
      <c r="X15" s="62"/>
      <c r="AB15" s="28"/>
      <c r="AC15" s="62"/>
      <c r="AG15" s="28"/>
      <c r="AH15" s="62"/>
      <c r="AL15" s="28"/>
      <c r="AM15" s="62"/>
      <c r="AQ15" s="28"/>
      <c r="AR15" s="62"/>
      <c r="AV15" s="28"/>
      <c r="AW15" s="62"/>
      <c r="BA15" s="28"/>
      <c r="BB15" s="62"/>
      <c r="BF15" s="28"/>
      <c r="BG15" s="18"/>
      <c r="BH15" s="18"/>
      <c r="BI15" s="21"/>
      <c r="BJ15"/>
    </row>
    <row r="16" spans="1:62" x14ac:dyDescent="0.35">
      <c r="A16" s="18" t="s">
        <v>60</v>
      </c>
      <c r="B16" s="20" t="s">
        <v>34</v>
      </c>
      <c r="C16" s="18"/>
      <c r="D16" s="62"/>
      <c r="H16" s="28"/>
      <c r="I16" s="62"/>
      <c r="M16" s="28"/>
      <c r="N16" s="62"/>
      <c r="R16" s="28"/>
      <c r="S16" s="62"/>
      <c r="W16" s="28"/>
      <c r="X16" s="62"/>
      <c r="AB16" s="28"/>
      <c r="AC16" s="62"/>
      <c r="AG16" s="28"/>
      <c r="AH16" s="62"/>
      <c r="AL16" s="28"/>
      <c r="AM16" s="62"/>
      <c r="AQ16" s="28"/>
      <c r="AR16" s="62"/>
      <c r="AV16" s="28"/>
      <c r="AW16" s="62"/>
      <c r="BA16" s="28"/>
      <c r="BB16" s="62"/>
      <c r="BF16" s="28"/>
      <c r="BG16" s="18"/>
      <c r="BH16" s="18"/>
      <c r="BI16" s="21"/>
      <c r="BJ16"/>
    </row>
    <row r="17" spans="1:62" x14ac:dyDescent="0.35">
      <c r="A17" s="18" t="s">
        <v>61</v>
      </c>
      <c r="B17" s="20" t="s">
        <v>119</v>
      </c>
      <c r="C17" s="18"/>
      <c r="D17" s="62"/>
      <c r="H17" s="28"/>
      <c r="I17" s="62"/>
      <c r="M17" s="28"/>
      <c r="N17" s="62"/>
      <c r="R17" s="28"/>
      <c r="S17" s="62"/>
      <c r="W17" s="28"/>
      <c r="X17" s="62"/>
      <c r="AB17" s="28"/>
      <c r="AC17" s="62"/>
      <c r="AG17" s="28"/>
      <c r="AH17" s="62"/>
      <c r="AL17" s="28"/>
      <c r="AM17" s="62"/>
      <c r="AQ17" s="28"/>
      <c r="AR17" s="62"/>
      <c r="AV17" s="28"/>
      <c r="AW17" s="62"/>
      <c r="BA17" s="28"/>
      <c r="BB17" s="62"/>
      <c r="BF17" s="28"/>
      <c r="BG17" s="24"/>
      <c r="BH17" s="24"/>
      <c r="BI17" s="21"/>
      <c r="BJ17"/>
    </row>
    <row r="18" spans="1:62" x14ac:dyDescent="0.35">
      <c r="A18" s="57">
        <v>3</v>
      </c>
      <c r="B18" s="58" t="s">
        <v>75</v>
      </c>
      <c r="C18" s="9"/>
      <c r="D18" s="59"/>
      <c r="E18" s="60"/>
      <c r="F18" s="60"/>
      <c r="G18" s="60"/>
      <c r="H18" s="61"/>
      <c r="I18" s="59"/>
      <c r="J18" s="60"/>
      <c r="K18" s="60"/>
      <c r="L18" s="60"/>
      <c r="M18" s="61"/>
      <c r="N18" s="59"/>
      <c r="O18" s="60"/>
      <c r="P18" s="60"/>
      <c r="Q18" s="60"/>
      <c r="R18" s="61"/>
      <c r="S18" s="59"/>
      <c r="T18" s="60"/>
      <c r="U18" s="60"/>
      <c r="V18" s="60"/>
      <c r="W18" s="61"/>
      <c r="X18" s="59"/>
      <c r="Y18" s="60"/>
      <c r="Z18" s="60"/>
      <c r="AA18" s="60"/>
      <c r="AB18" s="61"/>
      <c r="AC18" s="59"/>
      <c r="AD18" s="60"/>
      <c r="AE18" s="60"/>
      <c r="AF18" s="60"/>
      <c r="AG18" s="61"/>
      <c r="AH18" s="59"/>
      <c r="AI18" s="60"/>
      <c r="AJ18" s="60"/>
      <c r="AK18" s="60"/>
      <c r="AL18" s="61"/>
      <c r="AM18" s="59"/>
      <c r="AN18" s="60"/>
      <c r="AO18" s="60"/>
      <c r="AP18" s="60"/>
      <c r="AQ18" s="61"/>
      <c r="AR18" s="59"/>
      <c r="AS18" s="60"/>
      <c r="AT18" s="60"/>
      <c r="AU18" s="60"/>
      <c r="AV18" s="61"/>
      <c r="AW18" s="59"/>
      <c r="AX18" s="60"/>
      <c r="AY18" s="60"/>
      <c r="AZ18" s="60"/>
      <c r="BA18" s="61"/>
      <c r="BB18" s="59"/>
      <c r="BC18" s="60"/>
      <c r="BD18" s="60"/>
      <c r="BE18" s="60"/>
      <c r="BF18" s="61"/>
      <c r="BG18" s="9"/>
      <c r="BH18" s="9">
        <v>16</v>
      </c>
      <c r="BI18" s="74">
        <v>16</v>
      </c>
      <c r="BJ18"/>
    </row>
    <row r="19" spans="1:62" x14ac:dyDescent="0.35">
      <c r="A19" s="18" t="s">
        <v>12</v>
      </c>
      <c r="B19" s="20" t="s">
        <v>47</v>
      </c>
      <c r="C19" s="18"/>
      <c r="D19" s="62"/>
      <c r="H19" s="28"/>
      <c r="I19" s="62"/>
      <c r="M19" s="28"/>
      <c r="N19" s="62"/>
      <c r="R19" s="28"/>
      <c r="S19" s="62"/>
      <c r="W19" s="28"/>
      <c r="X19" s="62"/>
      <c r="AB19" s="28"/>
      <c r="AC19" s="62"/>
      <c r="AG19" s="28"/>
      <c r="AH19" s="62"/>
      <c r="AL19" s="28"/>
      <c r="AM19" s="62"/>
      <c r="AQ19" s="28"/>
      <c r="AR19" s="62"/>
      <c r="AV19" s="28"/>
      <c r="AW19" s="62"/>
      <c r="BA19" s="28"/>
      <c r="BB19" s="62"/>
      <c r="BF19" s="28"/>
      <c r="BG19" s="18"/>
      <c r="BH19" s="18"/>
      <c r="BI19" s="21"/>
      <c r="BJ19"/>
    </row>
    <row r="20" spans="1:62" x14ac:dyDescent="0.35">
      <c r="A20" s="18" t="s">
        <v>13</v>
      </c>
      <c r="B20" s="20" t="s">
        <v>76</v>
      </c>
      <c r="C20" s="18"/>
      <c r="D20" s="62"/>
      <c r="H20" s="28"/>
      <c r="I20" s="62"/>
      <c r="M20" s="28"/>
      <c r="N20" s="62"/>
      <c r="R20" s="28"/>
      <c r="S20" s="62"/>
      <c r="W20" s="28"/>
      <c r="X20" s="62"/>
      <c r="AB20" s="28"/>
      <c r="AC20" s="62"/>
      <c r="AG20" s="28"/>
      <c r="AH20" s="62"/>
      <c r="AL20" s="28"/>
      <c r="AM20" s="62"/>
      <c r="AQ20" s="28"/>
      <c r="AR20" s="62"/>
      <c r="AV20" s="28"/>
      <c r="AW20" s="62"/>
      <c r="BA20" s="28"/>
      <c r="BB20" s="62"/>
      <c r="BF20" s="28"/>
      <c r="BG20" s="18"/>
      <c r="BH20" s="18"/>
      <c r="BI20" s="21"/>
      <c r="BJ20"/>
    </row>
    <row r="21" spans="1:62" x14ac:dyDescent="0.35">
      <c r="A21" s="18" t="s">
        <v>50</v>
      </c>
      <c r="B21" s="20" t="s">
        <v>72</v>
      </c>
      <c r="C21" s="18"/>
      <c r="D21" s="62"/>
      <c r="H21" s="28"/>
      <c r="I21" s="62"/>
      <c r="M21" s="28"/>
      <c r="N21" s="62"/>
      <c r="R21" s="28"/>
      <c r="S21" s="62"/>
      <c r="W21" s="28"/>
      <c r="X21" s="62"/>
      <c r="AB21" s="28"/>
      <c r="AC21" s="62"/>
      <c r="AG21" s="28"/>
      <c r="AH21" s="62"/>
      <c r="AL21" s="28"/>
      <c r="AM21" s="62"/>
      <c r="AQ21" s="28"/>
      <c r="AR21" s="62"/>
      <c r="AV21" s="28"/>
      <c r="AW21" s="62"/>
      <c r="BA21" s="28"/>
      <c r="BB21" s="62"/>
      <c r="BF21" s="28"/>
      <c r="BG21" s="18"/>
      <c r="BH21" s="18"/>
      <c r="BI21" s="21"/>
      <c r="BJ21"/>
    </row>
    <row r="22" spans="1:62" x14ac:dyDescent="0.35">
      <c r="A22" s="18" t="s">
        <v>14</v>
      </c>
      <c r="B22" s="20" t="s">
        <v>34</v>
      </c>
      <c r="C22" s="18"/>
      <c r="D22" s="62"/>
      <c r="H22" s="28"/>
      <c r="I22" s="62"/>
      <c r="M22" s="28"/>
      <c r="N22" s="62"/>
      <c r="R22" s="28"/>
      <c r="S22" s="62"/>
      <c r="W22" s="28"/>
      <c r="X22" s="62"/>
      <c r="AB22" s="28"/>
      <c r="AC22" s="62"/>
      <c r="AG22" s="28"/>
      <c r="AH22" s="62"/>
      <c r="AL22" s="28"/>
      <c r="AM22" s="62"/>
      <c r="AQ22" s="28"/>
      <c r="AR22" s="62"/>
      <c r="AV22" s="28"/>
      <c r="AW22" s="62"/>
      <c r="BA22" s="28"/>
      <c r="BB22" s="62"/>
      <c r="BF22" s="28"/>
      <c r="BG22" s="18"/>
      <c r="BH22" s="18"/>
      <c r="BI22" s="21"/>
      <c r="BJ22"/>
    </row>
    <row r="23" spans="1:62" x14ac:dyDescent="0.35">
      <c r="A23" s="24" t="s">
        <v>120</v>
      </c>
      <c r="B23" s="27" t="s">
        <v>119</v>
      </c>
      <c r="C23" s="24"/>
      <c r="D23" s="63"/>
      <c r="E23" s="64"/>
      <c r="F23" s="64"/>
      <c r="G23" s="64"/>
      <c r="H23" s="30"/>
      <c r="I23" s="63"/>
      <c r="J23" s="64"/>
      <c r="K23" s="64"/>
      <c r="L23" s="64"/>
      <c r="M23" s="30"/>
      <c r="N23" s="63"/>
      <c r="O23" s="64"/>
      <c r="P23" s="64"/>
      <c r="Q23" s="64"/>
      <c r="R23" s="30"/>
      <c r="S23" s="63"/>
      <c r="T23" s="64"/>
      <c r="U23" s="64"/>
      <c r="V23" s="64"/>
      <c r="W23" s="30"/>
      <c r="X23" s="63"/>
      <c r="Y23" s="64"/>
      <c r="Z23" s="64"/>
      <c r="AA23" s="64"/>
      <c r="AB23" s="30"/>
      <c r="AC23" s="63"/>
      <c r="AD23" s="64"/>
      <c r="AE23" s="64"/>
      <c r="AF23" s="64"/>
      <c r="AG23" s="30"/>
      <c r="AH23" s="63"/>
      <c r="AI23" s="64"/>
      <c r="AJ23" s="64"/>
      <c r="AK23" s="64"/>
      <c r="AL23" s="30"/>
      <c r="AM23" s="63"/>
      <c r="AN23" s="64"/>
      <c r="AO23" s="64"/>
      <c r="AP23" s="64"/>
      <c r="AQ23" s="30"/>
      <c r="AR23" s="63"/>
      <c r="AS23" s="64"/>
      <c r="AT23" s="64"/>
      <c r="AU23" s="64"/>
      <c r="AV23" s="30"/>
      <c r="AW23" s="63"/>
      <c r="AX23" s="64"/>
      <c r="AY23" s="64"/>
      <c r="AZ23" s="64"/>
      <c r="BA23" s="30"/>
      <c r="BB23" s="63"/>
      <c r="BC23" s="64"/>
      <c r="BD23" s="64"/>
      <c r="BE23" s="64"/>
      <c r="BF23" s="30"/>
      <c r="BG23" s="24"/>
      <c r="BH23" s="24"/>
      <c r="BI23" s="21"/>
      <c r="BJ23"/>
    </row>
    <row r="24" spans="1:62" x14ac:dyDescent="0.35">
      <c r="AW24" s="143" t="s">
        <v>86</v>
      </c>
      <c r="AX24" s="144"/>
      <c r="AY24" s="144"/>
      <c r="AZ24" s="144"/>
      <c r="BA24" s="144"/>
      <c r="BB24" s="144"/>
      <c r="BC24" s="144"/>
      <c r="BD24" s="144"/>
      <c r="BE24" s="144"/>
      <c r="BF24" s="145"/>
      <c r="BG24" s="41">
        <f>BG18+BG9+BG5</f>
        <v>56</v>
      </c>
      <c r="BH24" s="41">
        <f>BH18+BH9+BH5</f>
        <v>56</v>
      </c>
      <c r="BI24" s="41">
        <f>BI18+BI9+BI5</f>
        <v>112</v>
      </c>
      <c r="BJ24"/>
    </row>
    <row r="25" spans="1:62" x14ac:dyDescent="0.35"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</row>
    <row r="28" spans="1:62" x14ac:dyDescent="0.35">
      <c r="A28" s="2"/>
      <c r="B28" s="49"/>
    </row>
    <row r="29" spans="1:62" x14ac:dyDescent="0.35">
      <c r="A29" s="2"/>
    </row>
    <row r="30" spans="1:62" x14ac:dyDescent="0.35">
      <c r="A30" s="2"/>
    </row>
    <row r="32" spans="1:62" x14ac:dyDescent="0.35">
      <c r="A32" s="2"/>
      <c r="B32" s="49"/>
    </row>
    <row r="33" spans="1:1" x14ac:dyDescent="0.35">
      <c r="A33" s="2"/>
    </row>
    <row r="34" spans="1:1" x14ac:dyDescent="0.35">
      <c r="A34" s="2"/>
    </row>
  </sheetData>
  <mergeCells count="14">
    <mergeCell ref="AW24:BF24"/>
    <mergeCell ref="BG3:BI3"/>
    <mergeCell ref="A1:BJ1"/>
    <mergeCell ref="AW4:BA4"/>
    <mergeCell ref="BB4:BF4"/>
    <mergeCell ref="D4:H4"/>
    <mergeCell ref="I4:M4"/>
    <mergeCell ref="AC4:AG4"/>
    <mergeCell ref="S4:W4"/>
    <mergeCell ref="N4:R4"/>
    <mergeCell ref="X4:AB4"/>
    <mergeCell ref="AH4:AL4"/>
    <mergeCell ref="AR4:AV4"/>
    <mergeCell ref="AM4:AQ4"/>
  </mergeCells>
  <pageMargins left="0.7" right="0.7" top="0.75" bottom="0.75" header="0.3" footer="0.3"/>
  <pageSetup paperSize="8" orientation="landscape" r:id="rId1"/>
  <headerFooter>
    <oddHeader>&amp;CMF1024 Produktutveckling VT2019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76"/>
  <sheetViews>
    <sheetView zoomScaleNormal="100" workbookViewId="0">
      <selection activeCell="Y6" sqref="Y6"/>
    </sheetView>
  </sheetViews>
  <sheetFormatPr defaultRowHeight="14.5" x14ac:dyDescent="0.35"/>
  <cols>
    <col min="1" max="1" width="5" customWidth="1"/>
    <col min="2" max="2" width="42" customWidth="1"/>
    <col min="3" max="3" width="10.453125" style="1" customWidth="1"/>
    <col min="4" max="58" width="1.7265625" style="1" customWidth="1"/>
  </cols>
  <sheetData>
    <row r="1" spans="1:62" ht="18.5" x14ac:dyDescent="0.45">
      <c r="A1" s="142" t="s">
        <v>133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</row>
    <row r="2" spans="1:62" s="3" customFormat="1" ht="13" x14ac:dyDescent="0.3"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43" t="s">
        <v>121</v>
      </c>
      <c r="BH2" s="144"/>
      <c r="BI2" s="145"/>
    </row>
    <row r="3" spans="1:62" s="3" customFormat="1" ht="13" x14ac:dyDescent="0.3">
      <c r="C3" s="6" t="s">
        <v>4</v>
      </c>
      <c r="D3" s="143" t="s">
        <v>149</v>
      </c>
      <c r="E3" s="144"/>
      <c r="F3" s="144"/>
      <c r="G3" s="144"/>
      <c r="H3" s="145"/>
      <c r="I3" s="143" t="s">
        <v>150</v>
      </c>
      <c r="J3" s="144"/>
      <c r="K3" s="144"/>
      <c r="L3" s="144"/>
      <c r="M3" s="145"/>
      <c r="N3" s="143" t="s">
        <v>151</v>
      </c>
      <c r="O3" s="144"/>
      <c r="P3" s="144"/>
      <c r="Q3" s="144"/>
      <c r="R3" s="145"/>
      <c r="S3" s="143" t="s">
        <v>152</v>
      </c>
      <c r="T3" s="144"/>
      <c r="U3" s="144"/>
      <c r="V3" s="144"/>
      <c r="W3" s="144"/>
      <c r="X3" s="143" t="s">
        <v>153</v>
      </c>
      <c r="Y3" s="144"/>
      <c r="Z3" s="144"/>
      <c r="AA3" s="144"/>
      <c r="AB3" s="145"/>
      <c r="AC3" s="144" t="s">
        <v>154</v>
      </c>
      <c r="AD3" s="144"/>
      <c r="AE3" s="144"/>
      <c r="AF3" s="144"/>
      <c r="AG3" s="145"/>
      <c r="AH3" s="143" t="s">
        <v>156</v>
      </c>
      <c r="AI3" s="144"/>
      <c r="AJ3" s="144"/>
      <c r="AK3" s="144"/>
      <c r="AL3" s="145"/>
      <c r="AM3" s="143" t="s">
        <v>157</v>
      </c>
      <c r="AN3" s="144"/>
      <c r="AO3" s="144"/>
      <c r="AP3" s="144"/>
      <c r="AQ3" s="145"/>
      <c r="AR3" s="143" t="s">
        <v>158</v>
      </c>
      <c r="AS3" s="144"/>
      <c r="AT3" s="144"/>
      <c r="AU3" s="144"/>
      <c r="AV3" s="145"/>
      <c r="AW3" s="143" t="s">
        <v>159</v>
      </c>
      <c r="AX3" s="144"/>
      <c r="AY3" s="144"/>
      <c r="AZ3" s="144"/>
      <c r="BA3" s="145"/>
      <c r="BB3" s="143" t="s">
        <v>160</v>
      </c>
      <c r="BC3" s="144"/>
      <c r="BD3" s="144"/>
      <c r="BE3" s="144"/>
      <c r="BF3" s="145"/>
      <c r="BG3" s="78" t="s">
        <v>62</v>
      </c>
      <c r="BH3" s="6" t="s">
        <v>63</v>
      </c>
      <c r="BI3" s="6" t="s">
        <v>29</v>
      </c>
    </row>
    <row r="4" spans="1:62" s="3" customFormat="1" ht="13" x14ac:dyDescent="0.3">
      <c r="A4" s="65">
        <v>1</v>
      </c>
      <c r="B4" s="58" t="s">
        <v>83</v>
      </c>
      <c r="C4" s="9"/>
      <c r="D4" s="59"/>
      <c r="E4" s="60"/>
      <c r="F4" s="60"/>
      <c r="G4" s="60"/>
      <c r="H4" s="61"/>
      <c r="I4" s="59"/>
      <c r="J4" s="60"/>
      <c r="K4" s="60"/>
      <c r="L4" s="60"/>
      <c r="M4" s="61"/>
      <c r="N4" s="59"/>
      <c r="O4" s="60"/>
      <c r="P4" s="60"/>
      <c r="Q4" s="60"/>
      <c r="R4" s="61"/>
      <c r="S4" s="60"/>
      <c r="T4" s="60"/>
      <c r="U4" s="60"/>
      <c r="V4" s="60"/>
      <c r="W4" s="61"/>
      <c r="X4" s="60"/>
      <c r="Y4" s="60"/>
      <c r="Z4" s="60"/>
      <c r="AA4" s="60"/>
      <c r="AB4" s="61"/>
      <c r="AC4" s="60"/>
      <c r="AD4" s="60"/>
      <c r="AE4" s="60"/>
      <c r="AF4" s="60"/>
      <c r="AG4" s="61"/>
      <c r="AH4" s="60"/>
      <c r="AI4" s="60"/>
      <c r="AJ4" s="60"/>
      <c r="AK4" s="60"/>
      <c r="AL4" s="60"/>
      <c r="AM4" s="59"/>
      <c r="AN4" s="60"/>
      <c r="AO4" s="60"/>
      <c r="AP4" s="60"/>
      <c r="AQ4" s="61"/>
      <c r="AR4" s="59"/>
      <c r="AS4" s="60"/>
      <c r="AT4" s="60"/>
      <c r="AU4" s="60"/>
      <c r="AV4" s="61"/>
      <c r="AW4" s="59"/>
      <c r="AX4" s="60"/>
      <c r="AY4" s="60"/>
      <c r="AZ4" s="60"/>
      <c r="BA4" s="61"/>
      <c r="BB4" s="59"/>
      <c r="BC4" s="60"/>
      <c r="BD4" s="60"/>
      <c r="BE4" s="60"/>
      <c r="BF4" s="61"/>
      <c r="BG4" s="9">
        <v>16</v>
      </c>
      <c r="BH4" s="9">
        <v>16</v>
      </c>
      <c r="BI4" s="74">
        <v>32</v>
      </c>
    </row>
    <row r="5" spans="1:62" s="3" customFormat="1" ht="13" x14ac:dyDescent="0.3">
      <c r="A5" s="16" t="s">
        <v>7</v>
      </c>
      <c r="B5" s="20" t="s">
        <v>47</v>
      </c>
      <c r="C5" s="18"/>
      <c r="D5" s="62"/>
      <c r="E5" s="4"/>
      <c r="F5" s="4"/>
      <c r="G5" s="4"/>
      <c r="H5" s="28"/>
      <c r="I5" s="62"/>
      <c r="J5" s="4"/>
      <c r="K5" s="4"/>
      <c r="L5" s="4"/>
      <c r="M5" s="28"/>
      <c r="N5" s="62"/>
      <c r="O5" s="4"/>
      <c r="P5" s="4"/>
      <c r="Q5" s="4"/>
      <c r="R5" s="28"/>
      <c r="S5" s="4"/>
      <c r="T5" s="4"/>
      <c r="U5" s="4"/>
      <c r="V5" s="4"/>
      <c r="W5" s="28"/>
      <c r="X5" s="4"/>
      <c r="Y5" s="4"/>
      <c r="Z5" s="4"/>
      <c r="AA5" s="4"/>
      <c r="AB5" s="28"/>
      <c r="AC5" s="4"/>
      <c r="AD5" s="4"/>
      <c r="AE5" s="4"/>
      <c r="AF5" s="4"/>
      <c r="AG5" s="28"/>
      <c r="AH5" s="4"/>
      <c r="AI5" s="4"/>
      <c r="AJ5" s="4"/>
      <c r="AK5" s="4"/>
      <c r="AL5" s="4"/>
      <c r="AM5" s="62"/>
      <c r="AN5" s="4"/>
      <c r="AO5" s="4"/>
      <c r="AP5" s="4"/>
      <c r="AQ5" s="28"/>
      <c r="AR5" s="62"/>
      <c r="AS5" s="4"/>
      <c r="AT5" s="4"/>
      <c r="AU5" s="4"/>
      <c r="AV5" s="28"/>
      <c r="AW5" s="62"/>
      <c r="AX5" s="4"/>
      <c r="AY5" s="4"/>
      <c r="AZ5" s="4"/>
      <c r="BA5" s="28"/>
      <c r="BB5" s="62"/>
      <c r="BC5" s="4"/>
      <c r="BD5" s="4"/>
      <c r="BE5" s="4"/>
      <c r="BF5" s="28"/>
      <c r="BG5" s="18"/>
      <c r="BH5" s="18"/>
      <c r="BI5" s="21"/>
    </row>
    <row r="6" spans="1:62" s="3" customFormat="1" ht="13" x14ac:dyDescent="0.3">
      <c r="A6" s="16" t="s">
        <v>8</v>
      </c>
      <c r="B6" s="20" t="s">
        <v>84</v>
      </c>
      <c r="C6" s="18"/>
      <c r="D6" s="62"/>
      <c r="E6" s="4"/>
      <c r="F6" s="4"/>
      <c r="G6" s="4"/>
      <c r="H6" s="28"/>
      <c r="I6" s="62"/>
      <c r="J6" s="4"/>
      <c r="K6" s="4"/>
      <c r="L6" s="4"/>
      <c r="M6" s="28"/>
      <c r="N6" s="62"/>
      <c r="O6" s="4"/>
      <c r="P6" s="4"/>
      <c r="Q6" s="4"/>
      <c r="R6" s="28"/>
      <c r="S6" s="4"/>
      <c r="T6" s="4"/>
      <c r="U6" s="4"/>
      <c r="V6" s="4"/>
      <c r="W6" s="28"/>
      <c r="X6" s="4"/>
      <c r="Y6" s="4"/>
      <c r="Z6" s="4"/>
      <c r="AA6" s="4"/>
      <c r="AB6" s="28"/>
      <c r="AC6" s="4"/>
      <c r="AD6" s="4"/>
      <c r="AE6" s="4"/>
      <c r="AF6" s="4"/>
      <c r="AG6" s="28"/>
      <c r="AH6" s="4"/>
      <c r="AI6" s="4"/>
      <c r="AJ6" s="4"/>
      <c r="AK6" s="4"/>
      <c r="AL6" s="4"/>
      <c r="AM6" s="62"/>
      <c r="AN6" s="4"/>
      <c r="AO6" s="4"/>
      <c r="AP6" s="4"/>
      <c r="AQ6" s="28"/>
      <c r="AR6" s="62"/>
      <c r="AS6" s="4"/>
      <c r="AT6" s="4"/>
      <c r="AU6" s="4"/>
      <c r="AV6" s="28"/>
      <c r="AW6" s="62"/>
      <c r="AX6" s="4"/>
      <c r="AY6" s="4"/>
      <c r="AZ6" s="4"/>
      <c r="BA6" s="28"/>
      <c r="BB6" s="62"/>
      <c r="BC6" s="4"/>
      <c r="BD6" s="4"/>
      <c r="BE6" s="4"/>
      <c r="BF6" s="28"/>
      <c r="BG6" s="18"/>
      <c r="BH6" s="18"/>
      <c r="BI6" s="21"/>
    </row>
    <row r="7" spans="1:62" s="3" customFormat="1" ht="13" x14ac:dyDescent="0.3">
      <c r="A7" s="16" t="s">
        <v>57</v>
      </c>
      <c r="B7" s="20" t="s">
        <v>49</v>
      </c>
      <c r="C7" s="18"/>
      <c r="D7" s="62"/>
      <c r="E7" s="4"/>
      <c r="F7" s="4"/>
      <c r="G7" s="4"/>
      <c r="H7" s="28"/>
      <c r="I7" s="62"/>
      <c r="J7" s="4"/>
      <c r="K7" s="4"/>
      <c r="L7" s="4"/>
      <c r="M7" s="28"/>
      <c r="N7" s="62"/>
      <c r="O7" s="4"/>
      <c r="P7" s="4"/>
      <c r="Q7" s="4"/>
      <c r="R7" s="28"/>
      <c r="S7" s="4"/>
      <c r="T7" s="4"/>
      <c r="U7" s="4"/>
      <c r="V7" s="4"/>
      <c r="W7" s="28"/>
      <c r="X7" s="4"/>
      <c r="Y7" s="4"/>
      <c r="Z7" s="4"/>
      <c r="AA7" s="4"/>
      <c r="AB7" s="28"/>
      <c r="AC7" s="4"/>
      <c r="AD7" s="4"/>
      <c r="AE7" s="4"/>
      <c r="AF7" s="4"/>
      <c r="AG7" s="28"/>
      <c r="AH7" s="4"/>
      <c r="AI7" s="4"/>
      <c r="AJ7" s="4"/>
      <c r="AK7" s="4"/>
      <c r="AL7" s="4"/>
      <c r="AM7" s="62"/>
      <c r="AN7" s="4"/>
      <c r="AO7" s="4"/>
      <c r="AP7" s="4"/>
      <c r="AQ7" s="28"/>
      <c r="AR7" s="62"/>
      <c r="AS7" s="4"/>
      <c r="AT7" s="4"/>
      <c r="AU7" s="4"/>
      <c r="AV7" s="28"/>
      <c r="AW7" s="62"/>
      <c r="AX7" s="4"/>
      <c r="AY7" s="4"/>
      <c r="AZ7" s="4"/>
      <c r="BA7" s="28"/>
      <c r="BB7" s="62"/>
      <c r="BC7" s="4"/>
      <c r="BD7" s="4"/>
      <c r="BE7" s="4"/>
      <c r="BF7" s="28"/>
      <c r="BG7" s="18"/>
      <c r="BH7" s="18"/>
      <c r="BI7" s="21"/>
    </row>
    <row r="8" spans="1:62" s="3" customFormat="1" ht="13" x14ac:dyDescent="0.3">
      <c r="A8" s="16" t="s">
        <v>77</v>
      </c>
      <c r="B8" s="20" t="s">
        <v>48</v>
      </c>
      <c r="C8" s="18"/>
      <c r="D8" s="62"/>
      <c r="E8" s="4"/>
      <c r="F8" s="4"/>
      <c r="G8" s="4"/>
      <c r="H8" s="28"/>
      <c r="I8" s="62"/>
      <c r="J8" s="4"/>
      <c r="K8" s="4"/>
      <c r="L8" s="4"/>
      <c r="M8" s="28"/>
      <c r="N8" s="62"/>
      <c r="O8" s="4"/>
      <c r="P8" s="4"/>
      <c r="Q8" s="4"/>
      <c r="R8" s="28"/>
      <c r="S8" s="4"/>
      <c r="T8" s="4"/>
      <c r="U8" s="4"/>
      <c r="V8" s="4"/>
      <c r="W8" s="28"/>
      <c r="X8" s="4"/>
      <c r="Y8" s="4"/>
      <c r="Z8" s="4"/>
      <c r="AA8" s="4"/>
      <c r="AB8" s="28"/>
      <c r="AC8" s="4"/>
      <c r="AD8" s="4"/>
      <c r="AE8" s="4"/>
      <c r="AF8" s="4"/>
      <c r="AG8" s="28"/>
      <c r="AH8" s="4"/>
      <c r="AI8" s="4"/>
      <c r="AJ8" s="4"/>
      <c r="AK8" s="4"/>
      <c r="AL8" s="4"/>
      <c r="AM8" s="62"/>
      <c r="AN8" s="4"/>
      <c r="AO8" s="4"/>
      <c r="AP8" s="4"/>
      <c r="AQ8" s="28"/>
      <c r="AR8" s="62"/>
      <c r="AS8" s="4"/>
      <c r="AT8" s="4"/>
      <c r="AU8" s="4"/>
      <c r="AV8" s="28"/>
      <c r="AW8" s="62"/>
      <c r="AX8" s="4"/>
      <c r="AY8" s="4"/>
      <c r="AZ8" s="4"/>
      <c r="BA8" s="28"/>
      <c r="BB8" s="62"/>
      <c r="BC8" s="4"/>
      <c r="BD8" s="4"/>
      <c r="BE8" s="4"/>
      <c r="BF8" s="28"/>
      <c r="BG8" s="18"/>
      <c r="BH8" s="18"/>
      <c r="BI8" s="21"/>
    </row>
    <row r="9" spans="1:62" s="3" customFormat="1" ht="13" x14ac:dyDescent="0.3">
      <c r="A9" s="16" t="s">
        <v>78</v>
      </c>
      <c r="B9" s="20" t="s">
        <v>52</v>
      </c>
      <c r="C9" s="18"/>
      <c r="D9" s="62"/>
      <c r="E9" s="4"/>
      <c r="F9" s="4"/>
      <c r="G9" s="4"/>
      <c r="H9" s="28"/>
      <c r="I9" s="62"/>
      <c r="J9" s="4"/>
      <c r="K9" s="4"/>
      <c r="L9" s="4"/>
      <c r="M9" s="28"/>
      <c r="N9" s="62"/>
      <c r="O9" s="4"/>
      <c r="P9" s="4"/>
      <c r="Q9" s="4"/>
      <c r="R9" s="28"/>
      <c r="S9" s="4"/>
      <c r="T9" s="4"/>
      <c r="U9" s="4"/>
      <c r="V9" s="4"/>
      <c r="W9" s="28"/>
      <c r="X9" s="4"/>
      <c r="Y9" s="4"/>
      <c r="Z9" s="4"/>
      <c r="AA9" s="4"/>
      <c r="AB9" s="28"/>
      <c r="AC9" s="4"/>
      <c r="AD9" s="4"/>
      <c r="AE9" s="4"/>
      <c r="AF9" s="4"/>
      <c r="AG9" s="28"/>
      <c r="AH9" s="4"/>
      <c r="AI9" s="4"/>
      <c r="AJ9" s="4"/>
      <c r="AK9" s="4"/>
      <c r="AL9" s="4"/>
      <c r="AM9" s="62"/>
      <c r="AN9" s="4"/>
      <c r="AO9" s="4"/>
      <c r="AP9" s="4"/>
      <c r="AQ9" s="28"/>
      <c r="AR9" s="62"/>
      <c r="AS9" s="4"/>
      <c r="AT9" s="4"/>
      <c r="AU9" s="4"/>
      <c r="AV9" s="28"/>
      <c r="AW9" s="62"/>
      <c r="AX9" s="4"/>
      <c r="AY9" s="4"/>
      <c r="AZ9" s="4"/>
      <c r="BA9" s="28"/>
      <c r="BB9" s="62"/>
      <c r="BC9" s="4"/>
      <c r="BD9" s="4"/>
      <c r="BE9" s="4"/>
      <c r="BF9" s="28"/>
      <c r="BG9" s="18"/>
      <c r="BH9" s="18"/>
      <c r="BI9" s="21"/>
    </row>
    <row r="10" spans="1:62" s="3" customFormat="1" ht="13" x14ac:dyDescent="0.3">
      <c r="A10" s="16" t="s">
        <v>79</v>
      </c>
      <c r="B10" s="20" t="s">
        <v>34</v>
      </c>
      <c r="C10" s="18"/>
      <c r="D10" s="62"/>
      <c r="E10" s="4"/>
      <c r="F10" s="4"/>
      <c r="G10" s="4"/>
      <c r="H10" s="28"/>
      <c r="I10" s="62"/>
      <c r="J10" s="4"/>
      <c r="K10" s="4"/>
      <c r="L10" s="4"/>
      <c r="M10" s="28"/>
      <c r="N10" s="62"/>
      <c r="O10" s="4"/>
      <c r="P10" s="4"/>
      <c r="Q10" s="4"/>
      <c r="R10" s="28"/>
      <c r="S10" s="4"/>
      <c r="T10" s="4"/>
      <c r="U10" s="4"/>
      <c r="V10" s="4"/>
      <c r="W10" s="28"/>
      <c r="X10" s="4"/>
      <c r="Y10" s="4"/>
      <c r="Z10" s="4"/>
      <c r="AA10" s="4"/>
      <c r="AB10" s="28"/>
      <c r="AC10" s="4"/>
      <c r="AD10" s="4"/>
      <c r="AE10" s="4"/>
      <c r="AF10" s="4"/>
      <c r="AG10" s="28"/>
      <c r="AH10" s="4"/>
      <c r="AI10" s="4"/>
      <c r="AJ10" s="4"/>
      <c r="AK10" s="4"/>
      <c r="AL10" s="4"/>
      <c r="AM10" s="62"/>
      <c r="AN10" s="4"/>
      <c r="AO10" s="4"/>
      <c r="AP10" s="4"/>
      <c r="AQ10" s="28"/>
      <c r="AR10" s="62"/>
      <c r="AS10" s="4"/>
      <c r="AT10" s="4"/>
      <c r="AU10" s="4"/>
      <c r="AV10" s="28"/>
      <c r="AW10" s="62"/>
      <c r="AX10" s="4"/>
      <c r="AY10" s="4"/>
      <c r="AZ10" s="4"/>
      <c r="BA10" s="28"/>
      <c r="BB10" s="62"/>
      <c r="BC10" s="4"/>
      <c r="BD10" s="4"/>
      <c r="BE10" s="4"/>
      <c r="BF10" s="28"/>
      <c r="BG10" s="24"/>
      <c r="BH10" s="24"/>
      <c r="BI10" s="37"/>
    </row>
    <row r="11" spans="1:62" s="3" customFormat="1" ht="13" x14ac:dyDescent="0.3">
      <c r="A11" s="65">
        <v>2</v>
      </c>
      <c r="B11" s="58" t="s">
        <v>82</v>
      </c>
      <c r="C11" s="9"/>
      <c r="D11" s="59"/>
      <c r="E11" s="60"/>
      <c r="F11" s="60"/>
      <c r="G11" s="60"/>
      <c r="H11" s="61"/>
      <c r="I11" s="59"/>
      <c r="J11" s="60"/>
      <c r="K11" s="60"/>
      <c r="L11" s="60"/>
      <c r="M11" s="61"/>
      <c r="N11" s="59"/>
      <c r="O11" s="60"/>
      <c r="P11" s="60"/>
      <c r="Q11" s="60"/>
      <c r="R11" s="61"/>
      <c r="S11" s="60"/>
      <c r="T11" s="60"/>
      <c r="U11" s="60"/>
      <c r="V11" s="60"/>
      <c r="W11" s="61"/>
      <c r="X11" s="60"/>
      <c r="Y11" s="60"/>
      <c r="Z11" s="60"/>
      <c r="AA11" s="60"/>
      <c r="AB11" s="61"/>
      <c r="AC11" s="60"/>
      <c r="AD11" s="60"/>
      <c r="AE11" s="60"/>
      <c r="AF11" s="60"/>
      <c r="AG11" s="61"/>
      <c r="AH11" s="60"/>
      <c r="AI11" s="60"/>
      <c r="AJ11" s="60"/>
      <c r="AK11" s="60"/>
      <c r="AL11" s="60"/>
      <c r="AM11" s="59"/>
      <c r="AN11" s="60"/>
      <c r="AO11" s="60"/>
      <c r="AP11" s="60"/>
      <c r="AQ11" s="61"/>
      <c r="AR11" s="59"/>
      <c r="AS11" s="60"/>
      <c r="AT11" s="60"/>
      <c r="AU11" s="60"/>
      <c r="AV11" s="61"/>
      <c r="AW11" s="59"/>
      <c r="AX11" s="60"/>
      <c r="AY11" s="60"/>
      <c r="AZ11" s="60"/>
      <c r="BA11" s="61"/>
      <c r="BB11" s="59"/>
      <c r="BC11" s="60"/>
      <c r="BD11" s="60"/>
      <c r="BE11" s="60"/>
      <c r="BF11" s="61"/>
      <c r="BG11" s="9">
        <v>8</v>
      </c>
      <c r="BH11" s="9"/>
      <c r="BI11" s="74">
        <v>8</v>
      </c>
    </row>
    <row r="12" spans="1:62" s="3" customFormat="1" ht="13" x14ac:dyDescent="0.3">
      <c r="A12" s="16" t="s">
        <v>9</v>
      </c>
      <c r="B12" s="20" t="s">
        <v>43</v>
      </c>
      <c r="C12" s="18"/>
      <c r="D12" s="62"/>
      <c r="E12" s="4"/>
      <c r="F12" s="4"/>
      <c r="G12" s="4"/>
      <c r="H12" s="28"/>
      <c r="I12" s="62"/>
      <c r="J12" s="4"/>
      <c r="K12" s="4"/>
      <c r="L12" s="4"/>
      <c r="M12" s="28"/>
      <c r="N12" s="62"/>
      <c r="O12" s="4"/>
      <c r="P12" s="4"/>
      <c r="Q12" s="4"/>
      <c r="R12" s="28"/>
      <c r="S12" s="4"/>
      <c r="T12" s="4"/>
      <c r="U12" s="4"/>
      <c r="V12" s="4"/>
      <c r="W12" s="28"/>
      <c r="X12" s="4"/>
      <c r="Y12" s="4"/>
      <c r="Z12" s="4"/>
      <c r="AA12" s="4"/>
      <c r="AB12" s="28"/>
      <c r="AC12" s="4"/>
      <c r="AD12" s="4"/>
      <c r="AE12" s="4"/>
      <c r="AF12" s="4"/>
      <c r="AG12" s="28"/>
      <c r="AH12" s="4"/>
      <c r="AI12" s="4"/>
      <c r="AJ12" s="4"/>
      <c r="AK12" s="4"/>
      <c r="AL12" s="4"/>
      <c r="AM12" s="62"/>
      <c r="AN12" s="4"/>
      <c r="AO12" s="4"/>
      <c r="AP12" s="4"/>
      <c r="AQ12" s="28"/>
      <c r="AR12" s="62"/>
      <c r="AS12" s="4"/>
      <c r="AT12" s="4"/>
      <c r="AU12" s="4"/>
      <c r="AV12" s="28"/>
      <c r="AW12" s="62"/>
      <c r="AX12" s="4"/>
      <c r="AY12" s="4"/>
      <c r="AZ12" s="4"/>
      <c r="BA12" s="28"/>
      <c r="BB12" s="62"/>
      <c r="BC12" s="4"/>
      <c r="BD12" s="4"/>
      <c r="BE12" s="4"/>
      <c r="BF12" s="28"/>
      <c r="BG12" s="18"/>
      <c r="BH12" s="18"/>
      <c r="BI12" s="21"/>
    </row>
    <row r="13" spans="1:62" s="3" customFormat="1" ht="13" x14ac:dyDescent="0.3">
      <c r="A13" s="16" t="s">
        <v>10</v>
      </c>
      <c r="B13" s="20" t="s">
        <v>143</v>
      </c>
      <c r="C13" s="18"/>
      <c r="D13" s="62"/>
      <c r="E13" s="4"/>
      <c r="F13" s="4"/>
      <c r="G13" s="4"/>
      <c r="H13" s="28"/>
      <c r="I13" s="62"/>
      <c r="J13" s="4"/>
      <c r="K13" s="4"/>
      <c r="L13" s="4"/>
      <c r="M13" s="28"/>
      <c r="N13" s="62"/>
      <c r="O13" s="4"/>
      <c r="P13" s="4"/>
      <c r="Q13" s="4"/>
      <c r="R13" s="28"/>
      <c r="S13" s="4"/>
      <c r="T13" s="4"/>
      <c r="U13" s="4"/>
      <c r="V13" s="4"/>
      <c r="W13" s="28"/>
      <c r="X13" s="4"/>
      <c r="Y13" s="4"/>
      <c r="Z13" s="4"/>
      <c r="AA13" s="4"/>
      <c r="AB13" s="28"/>
      <c r="AC13" s="4"/>
      <c r="AD13" s="4"/>
      <c r="AE13" s="4"/>
      <c r="AF13" s="4"/>
      <c r="AG13" s="28"/>
      <c r="AH13" s="4"/>
      <c r="AI13" s="4"/>
      <c r="AJ13" s="4"/>
      <c r="AK13" s="4"/>
      <c r="AL13" s="4"/>
      <c r="AM13" s="62"/>
      <c r="AN13" s="4"/>
      <c r="AO13" s="4"/>
      <c r="AP13" s="4"/>
      <c r="AQ13" s="28"/>
      <c r="AR13" s="62"/>
      <c r="AS13" s="4"/>
      <c r="AT13" s="4"/>
      <c r="AU13" s="4"/>
      <c r="AV13" s="28"/>
      <c r="AW13" s="62"/>
      <c r="AX13" s="4"/>
      <c r="AY13" s="4"/>
      <c r="AZ13" s="4"/>
      <c r="BA13" s="28"/>
      <c r="BB13" s="62"/>
      <c r="BC13" s="4"/>
      <c r="BD13" s="4"/>
      <c r="BE13" s="4"/>
      <c r="BF13" s="28"/>
      <c r="BG13" s="18"/>
      <c r="BH13" s="18"/>
      <c r="BI13" s="21"/>
    </row>
    <row r="14" spans="1:62" s="3" customFormat="1" ht="13" x14ac:dyDescent="0.3">
      <c r="A14" s="16" t="s">
        <v>11</v>
      </c>
      <c r="B14" s="20" t="s">
        <v>44</v>
      </c>
      <c r="C14" s="18"/>
      <c r="D14" s="62"/>
      <c r="E14" s="4"/>
      <c r="F14" s="4"/>
      <c r="G14" s="4"/>
      <c r="H14" s="28"/>
      <c r="I14" s="62"/>
      <c r="J14" s="4"/>
      <c r="K14" s="4"/>
      <c r="L14" s="4"/>
      <c r="M14" s="28"/>
      <c r="N14" s="62"/>
      <c r="O14" s="4"/>
      <c r="P14" s="4"/>
      <c r="Q14" s="4"/>
      <c r="R14" s="28"/>
      <c r="S14" s="4"/>
      <c r="T14" s="4"/>
      <c r="U14" s="4"/>
      <c r="V14" s="4"/>
      <c r="W14" s="28"/>
      <c r="X14" s="4"/>
      <c r="Y14" s="4"/>
      <c r="Z14" s="4"/>
      <c r="AA14" s="4"/>
      <c r="AB14" s="28"/>
      <c r="AC14" s="4"/>
      <c r="AD14" s="4"/>
      <c r="AE14" s="4"/>
      <c r="AF14" s="4"/>
      <c r="AG14" s="28"/>
      <c r="AH14" s="4"/>
      <c r="AI14" s="4"/>
      <c r="AJ14" s="4"/>
      <c r="AK14" s="4"/>
      <c r="AL14" s="4"/>
      <c r="AM14" s="62"/>
      <c r="AN14" s="4"/>
      <c r="AO14" s="4"/>
      <c r="AP14" s="4"/>
      <c r="AQ14" s="28"/>
      <c r="AR14" s="62"/>
      <c r="AS14" s="4"/>
      <c r="AT14" s="4"/>
      <c r="AU14" s="4"/>
      <c r="AV14" s="28"/>
      <c r="AW14" s="62"/>
      <c r="AX14" s="4"/>
      <c r="AY14" s="4"/>
      <c r="AZ14" s="4"/>
      <c r="BA14" s="28"/>
      <c r="BB14" s="62"/>
      <c r="BC14" s="4"/>
      <c r="BD14" s="4"/>
      <c r="BE14" s="4"/>
      <c r="BF14" s="28"/>
      <c r="BG14" s="18"/>
      <c r="BH14" s="18"/>
      <c r="BI14" s="21"/>
    </row>
    <row r="15" spans="1:62" s="3" customFormat="1" ht="13" x14ac:dyDescent="0.3">
      <c r="A15" s="16" t="s">
        <v>28</v>
      </c>
      <c r="B15" s="20" t="s">
        <v>34</v>
      </c>
      <c r="C15" s="18"/>
      <c r="D15" s="62"/>
      <c r="E15" s="4"/>
      <c r="F15" s="4"/>
      <c r="G15" s="4"/>
      <c r="H15" s="28"/>
      <c r="I15" s="62"/>
      <c r="J15" s="4"/>
      <c r="K15" s="4"/>
      <c r="L15" s="4"/>
      <c r="M15" s="28"/>
      <c r="N15" s="62"/>
      <c r="O15" s="4"/>
      <c r="P15" s="4"/>
      <c r="Q15" s="4"/>
      <c r="R15" s="28"/>
      <c r="S15" s="4"/>
      <c r="T15" s="4"/>
      <c r="U15" s="4"/>
      <c r="V15" s="4"/>
      <c r="W15" s="28"/>
      <c r="X15" s="4"/>
      <c r="Y15" s="4"/>
      <c r="Z15" s="4"/>
      <c r="AA15" s="4"/>
      <c r="AB15" s="28"/>
      <c r="AC15" s="4"/>
      <c r="AD15" s="4"/>
      <c r="AE15" s="4"/>
      <c r="AF15" s="4"/>
      <c r="AG15" s="28"/>
      <c r="AH15" s="4"/>
      <c r="AI15" s="4"/>
      <c r="AJ15" s="4"/>
      <c r="AK15" s="4"/>
      <c r="AL15" s="4"/>
      <c r="AM15" s="62"/>
      <c r="AN15" s="4"/>
      <c r="AO15" s="4"/>
      <c r="AP15" s="4"/>
      <c r="AQ15" s="28"/>
      <c r="AR15" s="62"/>
      <c r="AS15" s="4"/>
      <c r="AT15" s="4"/>
      <c r="AU15" s="4"/>
      <c r="AV15" s="28"/>
      <c r="AW15" s="62"/>
      <c r="AX15" s="4"/>
      <c r="AY15" s="4"/>
      <c r="AZ15" s="4"/>
      <c r="BA15" s="28"/>
      <c r="BB15" s="62"/>
      <c r="BC15" s="4"/>
      <c r="BD15" s="4"/>
      <c r="BE15" s="4"/>
      <c r="BF15" s="28"/>
      <c r="BG15" s="24"/>
      <c r="BH15" s="24"/>
      <c r="BI15" s="37"/>
    </row>
    <row r="16" spans="1:62" s="3" customFormat="1" ht="13" x14ac:dyDescent="0.3">
      <c r="A16" s="65">
        <v>3</v>
      </c>
      <c r="B16" s="58" t="s">
        <v>35</v>
      </c>
      <c r="C16" s="9"/>
      <c r="D16" s="59"/>
      <c r="E16" s="60"/>
      <c r="F16" s="60"/>
      <c r="G16" s="60"/>
      <c r="H16" s="61"/>
      <c r="I16" s="59"/>
      <c r="J16" s="60"/>
      <c r="K16" s="60"/>
      <c r="L16" s="60"/>
      <c r="M16" s="61"/>
      <c r="N16" s="59"/>
      <c r="O16" s="60"/>
      <c r="P16" s="60"/>
      <c r="Q16" s="60"/>
      <c r="R16" s="61"/>
      <c r="S16" s="60"/>
      <c r="T16" s="60"/>
      <c r="U16" s="60"/>
      <c r="V16" s="60"/>
      <c r="W16" s="61"/>
      <c r="X16" s="60"/>
      <c r="Y16" s="60"/>
      <c r="Z16" s="60"/>
      <c r="AA16" s="60"/>
      <c r="AB16" s="61"/>
      <c r="AC16" s="60"/>
      <c r="AD16" s="60"/>
      <c r="AE16" s="60"/>
      <c r="AF16" s="60"/>
      <c r="AG16" s="61"/>
      <c r="AH16" s="60"/>
      <c r="AI16" s="60"/>
      <c r="AJ16" s="60"/>
      <c r="AK16" s="60"/>
      <c r="AL16" s="60"/>
      <c r="AM16" s="59"/>
      <c r="AN16" s="60"/>
      <c r="AO16" s="60"/>
      <c r="AP16" s="60"/>
      <c r="AQ16" s="61"/>
      <c r="AR16" s="59"/>
      <c r="AS16" s="60"/>
      <c r="AT16" s="60"/>
      <c r="AU16" s="60"/>
      <c r="AV16" s="61"/>
      <c r="AW16" s="59"/>
      <c r="AX16" s="60"/>
      <c r="AY16" s="60"/>
      <c r="AZ16" s="60"/>
      <c r="BA16" s="61"/>
      <c r="BB16" s="59"/>
      <c r="BC16" s="60"/>
      <c r="BD16" s="60"/>
      <c r="BE16" s="60"/>
      <c r="BF16" s="61"/>
      <c r="BG16" s="9"/>
      <c r="BH16" s="9">
        <v>8</v>
      </c>
      <c r="BI16" s="74">
        <v>8</v>
      </c>
    </row>
    <row r="17" spans="1:61" s="3" customFormat="1" ht="13" x14ac:dyDescent="0.3">
      <c r="A17" s="16" t="s">
        <v>12</v>
      </c>
      <c r="B17" s="20" t="s">
        <v>43</v>
      </c>
      <c r="C17" s="18"/>
      <c r="D17" s="62"/>
      <c r="E17" s="4"/>
      <c r="F17" s="4"/>
      <c r="G17" s="4"/>
      <c r="H17" s="28"/>
      <c r="I17" s="62"/>
      <c r="J17" s="4"/>
      <c r="K17" s="4"/>
      <c r="L17" s="4"/>
      <c r="M17" s="28"/>
      <c r="N17" s="62"/>
      <c r="O17" s="4"/>
      <c r="P17" s="4"/>
      <c r="Q17" s="4"/>
      <c r="R17" s="28"/>
      <c r="S17" s="4"/>
      <c r="T17" s="4"/>
      <c r="U17" s="4"/>
      <c r="V17" s="4"/>
      <c r="W17" s="28"/>
      <c r="X17" s="4"/>
      <c r="Y17" s="4"/>
      <c r="Z17" s="4"/>
      <c r="AA17" s="4"/>
      <c r="AB17" s="28"/>
      <c r="AC17" s="4"/>
      <c r="AD17" s="4"/>
      <c r="AE17" s="4"/>
      <c r="AF17" s="4"/>
      <c r="AG17" s="28"/>
      <c r="AH17" s="4"/>
      <c r="AI17" s="4"/>
      <c r="AJ17" s="4"/>
      <c r="AK17" s="4"/>
      <c r="AL17" s="4"/>
      <c r="AM17" s="62"/>
      <c r="AN17" s="4"/>
      <c r="AO17" s="4"/>
      <c r="AP17" s="4"/>
      <c r="AQ17" s="28"/>
      <c r="AR17" s="62"/>
      <c r="AS17" s="4"/>
      <c r="AT17" s="4"/>
      <c r="AU17" s="4"/>
      <c r="AV17" s="28"/>
      <c r="AW17" s="62"/>
      <c r="AX17" s="4"/>
      <c r="AY17" s="4"/>
      <c r="AZ17" s="4"/>
      <c r="BA17" s="28"/>
      <c r="BB17" s="62"/>
      <c r="BC17" s="4"/>
      <c r="BD17" s="4"/>
      <c r="BE17" s="4"/>
      <c r="BF17" s="28"/>
      <c r="BG17" s="18"/>
      <c r="BH17" s="18"/>
      <c r="BI17" s="21"/>
    </row>
    <row r="18" spans="1:61" s="3" customFormat="1" ht="13" x14ac:dyDescent="0.3">
      <c r="A18" s="16" t="s">
        <v>13</v>
      </c>
      <c r="B18" s="20" t="s">
        <v>143</v>
      </c>
      <c r="C18" s="18"/>
      <c r="D18" s="62"/>
      <c r="E18" s="4"/>
      <c r="F18" s="4"/>
      <c r="G18" s="4"/>
      <c r="H18" s="28"/>
      <c r="I18" s="62"/>
      <c r="J18" s="4"/>
      <c r="K18" s="4"/>
      <c r="L18" s="4"/>
      <c r="M18" s="28"/>
      <c r="N18" s="62"/>
      <c r="O18" s="4"/>
      <c r="P18" s="4"/>
      <c r="Q18" s="4"/>
      <c r="R18" s="28"/>
      <c r="S18" s="4"/>
      <c r="T18" s="4"/>
      <c r="U18" s="4"/>
      <c r="V18" s="4"/>
      <c r="W18" s="28"/>
      <c r="X18" s="4"/>
      <c r="Y18" s="4"/>
      <c r="Z18" s="4"/>
      <c r="AA18" s="4"/>
      <c r="AB18" s="28"/>
      <c r="AC18" s="4"/>
      <c r="AD18" s="4"/>
      <c r="AE18" s="4"/>
      <c r="AF18" s="4"/>
      <c r="AG18" s="28"/>
      <c r="AH18" s="4"/>
      <c r="AI18" s="4"/>
      <c r="AJ18" s="4"/>
      <c r="AK18" s="4"/>
      <c r="AL18" s="4"/>
      <c r="AM18" s="62"/>
      <c r="AN18" s="4"/>
      <c r="AO18" s="4"/>
      <c r="AP18" s="4"/>
      <c r="AQ18" s="28"/>
      <c r="AR18" s="62"/>
      <c r="AS18" s="4"/>
      <c r="AT18" s="4"/>
      <c r="AU18" s="4"/>
      <c r="AV18" s="28"/>
      <c r="AW18" s="62"/>
      <c r="AX18" s="4"/>
      <c r="AY18" s="4"/>
      <c r="AZ18" s="4"/>
      <c r="BA18" s="28"/>
      <c r="BB18" s="62"/>
      <c r="BC18" s="4"/>
      <c r="BD18" s="4"/>
      <c r="BE18" s="4"/>
      <c r="BF18" s="28"/>
      <c r="BG18" s="18"/>
      <c r="BH18" s="18"/>
      <c r="BI18" s="21"/>
    </row>
    <row r="19" spans="1:61" s="3" customFormat="1" ht="13" x14ac:dyDescent="0.3">
      <c r="A19" s="16" t="s">
        <v>13</v>
      </c>
      <c r="B19" s="20" t="s">
        <v>46</v>
      </c>
      <c r="C19" s="18"/>
      <c r="D19" s="62"/>
      <c r="E19" s="4"/>
      <c r="F19" s="4"/>
      <c r="G19" s="4"/>
      <c r="H19" s="28"/>
      <c r="I19" s="62"/>
      <c r="J19" s="4"/>
      <c r="K19" s="4"/>
      <c r="L19" s="4"/>
      <c r="M19" s="28"/>
      <c r="N19" s="62"/>
      <c r="O19" s="4"/>
      <c r="P19" s="4"/>
      <c r="Q19" s="4"/>
      <c r="R19" s="28"/>
      <c r="S19" s="4"/>
      <c r="T19" s="4"/>
      <c r="U19" s="4"/>
      <c r="V19" s="4"/>
      <c r="W19" s="28"/>
      <c r="X19" s="4"/>
      <c r="Y19" s="4"/>
      <c r="Z19" s="4"/>
      <c r="AA19" s="4"/>
      <c r="AB19" s="28"/>
      <c r="AC19" s="4"/>
      <c r="AD19" s="4"/>
      <c r="AE19" s="4"/>
      <c r="AF19" s="4"/>
      <c r="AG19" s="28"/>
      <c r="AH19" s="4"/>
      <c r="AI19" s="4"/>
      <c r="AJ19" s="4"/>
      <c r="AK19" s="4"/>
      <c r="AL19" s="4"/>
      <c r="AM19" s="62"/>
      <c r="AN19" s="4"/>
      <c r="AO19" s="4"/>
      <c r="AP19" s="4"/>
      <c r="AQ19" s="28"/>
      <c r="AR19" s="62"/>
      <c r="AS19" s="4"/>
      <c r="AT19" s="4"/>
      <c r="AU19" s="4"/>
      <c r="AV19" s="28"/>
      <c r="AW19" s="62"/>
      <c r="AX19" s="4"/>
      <c r="AY19" s="4"/>
      <c r="AZ19" s="4"/>
      <c r="BA19" s="28"/>
      <c r="BB19" s="62"/>
      <c r="BC19" s="4"/>
      <c r="BD19" s="4"/>
      <c r="BE19" s="4"/>
      <c r="BF19" s="28"/>
      <c r="BG19" s="18"/>
      <c r="BH19" s="18"/>
      <c r="BI19" s="21"/>
    </row>
    <row r="20" spans="1:61" s="3" customFormat="1" ht="13" x14ac:dyDescent="0.3">
      <c r="A20" s="16" t="s">
        <v>50</v>
      </c>
      <c r="B20" s="20" t="s">
        <v>45</v>
      </c>
      <c r="C20" s="18"/>
      <c r="D20" s="62"/>
      <c r="E20" s="4"/>
      <c r="F20" s="4"/>
      <c r="G20" s="4"/>
      <c r="H20" s="28"/>
      <c r="I20" s="62"/>
      <c r="J20" s="4"/>
      <c r="K20" s="4"/>
      <c r="L20" s="4"/>
      <c r="M20" s="28"/>
      <c r="N20" s="62"/>
      <c r="O20" s="4"/>
      <c r="P20" s="4"/>
      <c r="Q20" s="4"/>
      <c r="R20" s="28"/>
      <c r="S20" s="4"/>
      <c r="T20" s="4"/>
      <c r="U20" s="4"/>
      <c r="V20" s="4"/>
      <c r="W20" s="28"/>
      <c r="X20" s="4"/>
      <c r="Y20" s="4"/>
      <c r="Z20" s="4"/>
      <c r="AA20" s="4"/>
      <c r="AB20" s="28"/>
      <c r="AC20" s="4"/>
      <c r="AD20" s="4"/>
      <c r="AE20" s="4"/>
      <c r="AF20" s="4"/>
      <c r="AG20" s="28"/>
      <c r="AH20" s="4"/>
      <c r="AI20" s="4"/>
      <c r="AJ20" s="4"/>
      <c r="AK20" s="4"/>
      <c r="AL20" s="4"/>
      <c r="AM20" s="62"/>
      <c r="AN20" s="4"/>
      <c r="AO20" s="4"/>
      <c r="AP20" s="4"/>
      <c r="AQ20" s="28"/>
      <c r="AR20" s="62"/>
      <c r="AS20" s="4"/>
      <c r="AT20" s="4"/>
      <c r="AU20" s="4"/>
      <c r="AV20" s="28"/>
      <c r="AW20" s="62"/>
      <c r="AX20" s="4"/>
      <c r="AY20" s="4"/>
      <c r="AZ20" s="4"/>
      <c r="BA20" s="28"/>
      <c r="BB20" s="62"/>
      <c r="BC20" s="4"/>
      <c r="BD20" s="4"/>
      <c r="BE20" s="4"/>
      <c r="BF20" s="28"/>
      <c r="BG20" s="18"/>
      <c r="BH20" s="18"/>
      <c r="BI20" s="21"/>
    </row>
    <row r="21" spans="1:61" s="3" customFormat="1" ht="13" x14ac:dyDescent="0.3">
      <c r="A21" s="16" t="s">
        <v>50</v>
      </c>
      <c r="B21" s="20" t="s">
        <v>81</v>
      </c>
      <c r="C21" s="18"/>
      <c r="D21" s="62"/>
      <c r="E21" s="4"/>
      <c r="F21" s="4"/>
      <c r="G21" s="4"/>
      <c r="H21" s="28"/>
      <c r="I21" s="62"/>
      <c r="J21" s="4"/>
      <c r="K21" s="4"/>
      <c r="L21" s="4"/>
      <c r="M21" s="28"/>
      <c r="N21" s="62"/>
      <c r="O21" s="4"/>
      <c r="P21" s="4"/>
      <c r="Q21" s="4"/>
      <c r="R21" s="28"/>
      <c r="S21" s="4"/>
      <c r="T21" s="4"/>
      <c r="U21" s="4"/>
      <c r="V21" s="4"/>
      <c r="W21" s="28"/>
      <c r="X21" s="4"/>
      <c r="Y21" s="4"/>
      <c r="Z21" s="4"/>
      <c r="AA21" s="4"/>
      <c r="AB21" s="28"/>
      <c r="AC21" s="4"/>
      <c r="AD21" s="4"/>
      <c r="AE21" s="4"/>
      <c r="AF21" s="4"/>
      <c r="AG21" s="28"/>
      <c r="AH21" s="4"/>
      <c r="AI21" s="4"/>
      <c r="AJ21" s="4"/>
      <c r="AK21" s="4"/>
      <c r="AL21" s="4"/>
      <c r="AM21" s="62"/>
      <c r="AN21" s="4"/>
      <c r="AO21" s="4"/>
      <c r="AP21" s="4"/>
      <c r="AQ21" s="28"/>
      <c r="AR21" s="62"/>
      <c r="AS21" s="4"/>
      <c r="AT21" s="4"/>
      <c r="AU21" s="4"/>
      <c r="AV21" s="28"/>
      <c r="AW21" s="62"/>
      <c r="AX21" s="4"/>
      <c r="AY21" s="4"/>
      <c r="AZ21" s="4"/>
      <c r="BA21" s="28"/>
      <c r="BB21" s="62"/>
      <c r="BC21" s="4"/>
      <c r="BD21" s="4"/>
      <c r="BE21" s="4"/>
      <c r="BF21" s="28"/>
      <c r="BG21" s="18"/>
      <c r="BH21" s="18"/>
      <c r="BI21" s="21"/>
    </row>
    <row r="22" spans="1:61" s="3" customFormat="1" ht="13" x14ac:dyDescent="0.3">
      <c r="A22" s="16" t="s">
        <v>14</v>
      </c>
      <c r="B22" s="20" t="s">
        <v>34</v>
      </c>
      <c r="C22" s="18"/>
      <c r="D22" s="62"/>
      <c r="E22" s="4"/>
      <c r="F22" s="4"/>
      <c r="G22" s="4"/>
      <c r="H22" s="28"/>
      <c r="I22" s="62"/>
      <c r="J22" s="4"/>
      <c r="K22" s="4"/>
      <c r="L22" s="4"/>
      <c r="M22" s="28"/>
      <c r="N22" s="62"/>
      <c r="O22" s="4"/>
      <c r="P22" s="4"/>
      <c r="Q22" s="4"/>
      <c r="R22" s="28"/>
      <c r="S22" s="4"/>
      <c r="T22" s="4"/>
      <c r="U22" s="4"/>
      <c r="V22" s="4"/>
      <c r="W22" s="28"/>
      <c r="X22" s="4"/>
      <c r="Y22" s="4"/>
      <c r="Z22" s="4"/>
      <c r="AA22" s="4"/>
      <c r="AB22" s="28"/>
      <c r="AC22" s="4"/>
      <c r="AD22" s="4"/>
      <c r="AE22" s="4"/>
      <c r="AF22" s="4"/>
      <c r="AG22" s="28"/>
      <c r="AH22" s="4"/>
      <c r="AI22" s="4"/>
      <c r="AJ22" s="4"/>
      <c r="AK22" s="4"/>
      <c r="AL22" s="4"/>
      <c r="AM22" s="62"/>
      <c r="AN22" s="4"/>
      <c r="AO22" s="4"/>
      <c r="AP22" s="4"/>
      <c r="AQ22" s="28"/>
      <c r="AR22" s="62"/>
      <c r="AS22" s="4"/>
      <c r="AT22" s="4"/>
      <c r="AU22" s="4"/>
      <c r="AV22" s="28"/>
      <c r="AW22" s="62"/>
      <c r="AX22" s="4"/>
      <c r="AY22" s="4"/>
      <c r="AZ22" s="4"/>
      <c r="BA22" s="28"/>
      <c r="BB22" s="62"/>
      <c r="BC22" s="4"/>
      <c r="BD22" s="4"/>
      <c r="BE22" s="4"/>
      <c r="BF22" s="28"/>
      <c r="BG22" s="24"/>
      <c r="BH22" s="24"/>
      <c r="BI22" s="37"/>
    </row>
    <row r="23" spans="1:61" s="3" customFormat="1" ht="13" x14ac:dyDescent="0.3">
      <c r="A23" s="65">
        <v>4</v>
      </c>
      <c r="B23" s="58" t="s">
        <v>36</v>
      </c>
      <c r="C23" s="9"/>
      <c r="D23" s="59"/>
      <c r="E23" s="60"/>
      <c r="F23" s="60"/>
      <c r="G23" s="60"/>
      <c r="H23" s="61"/>
      <c r="I23" s="59"/>
      <c r="J23" s="60"/>
      <c r="K23" s="60"/>
      <c r="L23" s="60"/>
      <c r="M23" s="61"/>
      <c r="N23" s="59"/>
      <c r="O23" s="60"/>
      <c r="P23" s="60"/>
      <c r="Q23" s="60"/>
      <c r="R23" s="61"/>
      <c r="S23" s="60"/>
      <c r="T23" s="60"/>
      <c r="U23" s="60"/>
      <c r="V23" s="60"/>
      <c r="W23" s="61"/>
      <c r="X23" s="60"/>
      <c r="Y23" s="60"/>
      <c r="Z23" s="60"/>
      <c r="AA23" s="60"/>
      <c r="AB23" s="61"/>
      <c r="AC23" s="60"/>
      <c r="AD23" s="60"/>
      <c r="AE23" s="60"/>
      <c r="AF23" s="60"/>
      <c r="AG23" s="61"/>
      <c r="AH23" s="60"/>
      <c r="AI23" s="60"/>
      <c r="AJ23" s="60"/>
      <c r="AK23" s="60"/>
      <c r="AL23" s="60"/>
      <c r="AM23" s="59"/>
      <c r="AN23" s="60"/>
      <c r="AO23" s="60"/>
      <c r="AP23" s="60"/>
      <c r="AQ23" s="61"/>
      <c r="AR23" s="59"/>
      <c r="AS23" s="60"/>
      <c r="AT23" s="60"/>
      <c r="AU23" s="60"/>
      <c r="AV23" s="61"/>
      <c r="AW23" s="59"/>
      <c r="AX23" s="60"/>
      <c r="AY23" s="60"/>
      <c r="AZ23" s="60"/>
      <c r="BA23" s="61"/>
      <c r="BB23" s="59"/>
      <c r="BC23" s="60"/>
      <c r="BD23" s="60"/>
      <c r="BE23" s="60"/>
      <c r="BF23" s="61"/>
      <c r="BG23" s="9">
        <f>56-BG11-BG4-BG16</f>
        <v>32</v>
      </c>
      <c r="BH23" s="9">
        <f>56-BH16-BH11-BH4</f>
        <v>32</v>
      </c>
      <c r="BI23" s="74">
        <v>64</v>
      </c>
    </row>
    <row r="24" spans="1:61" s="3" customFormat="1" ht="13" x14ac:dyDescent="0.3">
      <c r="A24" s="16" t="s">
        <v>15</v>
      </c>
      <c r="B24" s="20" t="s">
        <v>43</v>
      </c>
      <c r="C24" s="18"/>
      <c r="D24" s="62"/>
      <c r="E24" s="4"/>
      <c r="F24" s="4"/>
      <c r="G24" s="4"/>
      <c r="H24" s="28"/>
      <c r="I24" s="62"/>
      <c r="J24" s="4"/>
      <c r="K24" s="4"/>
      <c r="L24" s="4"/>
      <c r="M24" s="28"/>
      <c r="N24" s="62"/>
      <c r="O24" s="4"/>
      <c r="P24" s="4"/>
      <c r="Q24" s="4"/>
      <c r="R24" s="28"/>
      <c r="S24" s="4"/>
      <c r="T24" s="4"/>
      <c r="U24" s="4"/>
      <c r="V24" s="4"/>
      <c r="W24" s="28"/>
      <c r="X24" s="4"/>
      <c r="Y24" s="4"/>
      <c r="Z24" s="4"/>
      <c r="AA24" s="4"/>
      <c r="AB24" s="28"/>
      <c r="AC24" s="4"/>
      <c r="AD24" s="4"/>
      <c r="AE24" s="4"/>
      <c r="AF24" s="4"/>
      <c r="AG24" s="28"/>
      <c r="AH24" s="4"/>
      <c r="AI24" s="4"/>
      <c r="AJ24" s="4"/>
      <c r="AK24" s="4"/>
      <c r="AL24" s="4"/>
      <c r="AM24" s="62"/>
      <c r="AN24" s="4"/>
      <c r="AO24" s="4"/>
      <c r="AP24" s="4"/>
      <c r="AQ24" s="28"/>
      <c r="AR24" s="62"/>
      <c r="AS24" s="4"/>
      <c r="AT24" s="4"/>
      <c r="AU24" s="4"/>
      <c r="AV24" s="28"/>
      <c r="AW24" s="62"/>
      <c r="AX24" s="4"/>
      <c r="AY24" s="4"/>
      <c r="AZ24" s="4"/>
      <c r="BA24" s="28"/>
      <c r="BB24" s="62"/>
      <c r="BC24" s="4"/>
      <c r="BD24" s="4"/>
      <c r="BE24" s="4"/>
      <c r="BF24" s="28"/>
      <c r="BG24" s="18"/>
      <c r="BH24" s="18"/>
      <c r="BI24" s="21"/>
    </row>
    <row r="25" spans="1:61" s="3" customFormat="1" ht="13" x14ac:dyDescent="0.3">
      <c r="A25" s="16" t="s">
        <v>16</v>
      </c>
      <c r="B25" s="20" t="s">
        <v>143</v>
      </c>
      <c r="C25" s="18"/>
      <c r="D25" s="62"/>
      <c r="E25" s="4"/>
      <c r="F25" s="4"/>
      <c r="G25" s="4"/>
      <c r="H25" s="28"/>
      <c r="I25" s="62"/>
      <c r="J25" s="4"/>
      <c r="K25" s="4"/>
      <c r="L25" s="4"/>
      <c r="M25" s="28"/>
      <c r="N25" s="62"/>
      <c r="O25" s="4"/>
      <c r="P25" s="4"/>
      <c r="Q25" s="4"/>
      <c r="R25" s="28"/>
      <c r="S25" s="4"/>
      <c r="T25" s="4"/>
      <c r="U25" s="4"/>
      <c r="V25" s="4"/>
      <c r="W25" s="28"/>
      <c r="X25" s="4"/>
      <c r="Y25" s="4"/>
      <c r="Z25" s="4"/>
      <c r="AA25" s="4"/>
      <c r="AB25" s="28"/>
      <c r="AC25" s="4"/>
      <c r="AD25" s="4"/>
      <c r="AE25" s="4"/>
      <c r="AF25" s="4"/>
      <c r="AG25" s="28"/>
      <c r="AH25" s="4"/>
      <c r="AI25" s="4"/>
      <c r="AJ25" s="4"/>
      <c r="AK25" s="4"/>
      <c r="AL25" s="4"/>
      <c r="AM25" s="62"/>
      <c r="AN25" s="4"/>
      <c r="AO25" s="4"/>
      <c r="AP25" s="4"/>
      <c r="AQ25" s="28"/>
      <c r="AR25" s="62"/>
      <c r="AS25" s="4"/>
      <c r="AT25" s="4"/>
      <c r="AU25" s="4"/>
      <c r="AV25" s="28"/>
      <c r="AW25" s="62"/>
      <c r="AX25" s="4"/>
      <c r="AY25" s="4"/>
      <c r="AZ25" s="4"/>
      <c r="BA25" s="28"/>
      <c r="BB25" s="62"/>
      <c r="BC25" s="4"/>
      <c r="BD25" s="4"/>
      <c r="BE25" s="4"/>
      <c r="BF25" s="28"/>
      <c r="BG25" s="18"/>
      <c r="BH25" s="18"/>
      <c r="BI25" s="21"/>
    </row>
    <row r="26" spans="1:61" s="3" customFormat="1" ht="13" x14ac:dyDescent="0.3">
      <c r="A26" s="16" t="s">
        <v>17</v>
      </c>
      <c r="B26" s="20" t="s">
        <v>112</v>
      </c>
      <c r="C26" s="18"/>
      <c r="D26" s="62"/>
      <c r="E26" s="4"/>
      <c r="F26" s="4"/>
      <c r="G26" s="4"/>
      <c r="H26" s="28"/>
      <c r="I26" s="62"/>
      <c r="J26" s="4"/>
      <c r="K26" s="4"/>
      <c r="L26" s="4"/>
      <c r="M26" s="28"/>
      <c r="N26" s="62"/>
      <c r="O26" s="4"/>
      <c r="P26" s="4"/>
      <c r="Q26" s="4"/>
      <c r="R26" s="28"/>
      <c r="S26" s="4"/>
      <c r="T26" s="4"/>
      <c r="U26" s="4"/>
      <c r="V26" s="4"/>
      <c r="W26" s="28"/>
      <c r="X26" s="4"/>
      <c r="Y26" s="4"/>
      <c r="Z26" s="4"/>
      <c r="AA26" s="4"/>
      <c r="AB26" s="28"/>
      <c r="AC26" s="4"/>
      <c r="AD26" s="4"/>
      <c r="AE26" s="4"/>
      <c r="AF26" s="4"/>
      <c r="AG26" s="28"/>
      <c r="AH26" s="4"/>
      <c r="AI26" s="4"/>
      <c r="AJ26" s="4"/>
      <c r="AK26" s="4"/>
      <c r="AL26" s="4"/>
      <c r="AM26" s="62"/>
      <c r="AN26" s="4"/>
      <c r="AO26" s="4"/>
      <c r="AP26" s="4"/>
      <c r="AQ26" s="28"/>
      <c r="AR26" s="62"/>
      <c r="AS26" s="4"/>
      <c r="AT26" s="4"/>
      <c r="AU26" s="4"/>
      <c r="AV26" s="28"/>
      <c r="AW26" s="62"/>
      <c r="AX26" s="4"/>
      <c r="AY26" s="4"/>
      <c r="AZ26" s="4"/>
      <c r="BA26" s="28"/>
      <c r="BB26" s="62"/>
      <c r="BC26" s="4"/>
      <c r="BD26" s="4"/>
      <c r="BE26" s="4"/>
      <c r="BF26" s="28"/>
      <c r="BG26" s="18"/>
      <c r="BH26" s="18"/>
      <c r="BI26" s="21"/>
    </row>
    <row r="27" spans="1:61" s="3" customFormat="1" ht="13" x14ac:dyDescent="0.3">
      <c r="A27" s="16" t="s">
        <v>80</v>
      </c>
      <c r="B27" s="20" t="s">
        <v>113</v>
      </c>
      <c r="C27" s="18"/>
      <c r="D27" s="62"/>
      <c r="E27" s="4"/>
      <c r="F27" s="4"/>
      <c r="G27" s="4"/>
      <c r="H27" s="28"/>
      <c r="I27" s="62"/>
      <c r="J27" s="4"/>
      <c r="K27" s="4"/>
      <c r="L27" s="4"/>
      <c r="M27" s="28"/>
      <c r="N27" s="62"/>
      <c r="O27" s="4"/>
      <c r="P27" s="4"/>
      <c r="Q27" s="4"/>
      <c r="R27" s="28"/>
      <c r="S27" s="4"/>
      <c r="T27" s="4"/>
      <c r="U27" s="4"/>
      <c r="V27" s="4"/>
      <c r="W27" s="28"/>
      <c r="X27" s="4"/>
      <c r="Y27" s="4"/>
      <c r="Z27" s="4"/>
      <c r="AA27" s="4"/>
      <c r="AB27" s="28"/>
      <c r="AC27" s="4"/>
      <c r="AD27" s="4"/>
      <c r="AE27" s="4"/>
      <c r="AF27" s="4"/>
      <c r="AG27" s="28"/>
      <c r="AH27" s="4"/>
      <c r="AI27" s="4"/>
      <c r="AJ27" s="4"/>
      <c r="AK27" s="4"/>
      <c r="AL27" s="4"/>
      <c r="AM27" s="62"/>
      <c r="AN27" s="4"/>
      <c r="AO27" s="4"/>
      <c r="AP27" s="4"/>
      <c r="AQ27" s="28"/>
      <c r="AR27" s="62"/>
      <c r="AS27" s="4"/>
      <c r="AT27" s="4"/>
      <c r="AU27" s="4"/>
      <c r="AV27" s="28"/>
      <c r="AW27" s="62"/>
      <c r="AX27" s="4"/>
      <c r="AY27" s="4"/>
      <c r="AZ27" s="4"/>
      <c r="BA27" s="28"/>
      <c r="BB27" s="62"/>
      <c r="BC27" s="4"/>
      <c r="BD27" s="4"/>
      <c r="BE27" s="4"/>
      <c r="BF27" s="28"/>
      <c r="BG27" s="18"/>
      <c r="BH27" s="18"/>
      <c r="BI27" s="21"/>
    </row>
    <row r="28" spans="1:61" s="3" customFormat="1" ht="13" x14ac:dyDescent="0.3">
      <c r="A28" s="23" t="s">
        <v>51</v>
      </c>
      <c r="B28" s="27" t="s">
        <v>34</v>
      </c>
      <c r="C28" s="24"/>
      <c r="D28" s="63"/>
      <c r="E28" s="64"/>
      <c r="F28" s="64"/>
      <c r="G28" s="64"/>
      <c r="H28" s="30"/>
      <c r="I28" s="63"/>
      <c r="J28" s="64"/>
      <c r="K28" s="64"/>
      <c r="L28" s="64"/>
      <c r="M28" s="30"/>
      <c r="N28" s="63"/>
      <c r="O28" s="64"/>
      <c r="P28" s="64"/>
      <c r="Q28" s="64"/>
      <c r="R28" s="30"/>
      <c r="S28" s="64"/>
      <c r="T28" s="64"/>
      <c r="U28" s="64"/>
      <c r="V28" s="64"/>
      <c r="W28" s="30"/>
      <c r="X28" s="64"/>
      <c r="Y28" s="64"/>
      <c r="Z28" s="64"/>
      <c r="AA28" s="64"/>
      <c r="AB28" s="30"/>
      <c r="AC28" s="64"/>
      <c r="AD28" s="64"/>
      <c r="AE28" s="64"/>
      <c r="AF28" s="64"/>
      <c r="AG28" s="30"/>
      <c r="AH28" s="64"/>
      <c r="AI28" s="64"/>
      <c r="AJ28" s="64"/>
      <c r="AK28" s="64"/>
      <c r="AL28" s="64"/>
      <c r="AM28" s="63"/>
      <c r="AN28" s="64"/>
      <c r="AO28" s="64"/>
      <c r="AP28" s="64"/>
      <c r="AQ28" s="30"/>
      <c r="AR28" s="63"/>
      <c r="AS28" s="64"/>
      <c r="AT28" s="64"/>
      <c r="AU28" s="64"/>
      <c r="AV28" s="30"/>
      <c r="AW28" s="63"/>
      <c r="AX28" s="64"/>
      <c r="AY28" s="64"/>
      <c r="AZ28" s="64"/>
      <c r="BA28" s="30"/>
      <c r="BB28" s="63"/>
      <c r="BC28" s="64"/>
      <c r="BD28" s="64"/>
      <c r="BE28" s="64"/>
      <c r="BF28" s="30"/>
      <c r="BG28" s="24"/>
      <c r="BH28" s="24"/>
      <c r="BI28" s="37"/>
    </row>
    <row r="29" spans="1:61" s="3" customFormat="1" ht="13" x14ac:dyDescent="0.3">
      <c r="AW29" s="38" t="s">
        <v>86</v>
      </c>
      <c r="AX29" s="39"/>
      <c r="AY29" s="39"/>
      <c r="AZ29" s="39"/>
      <c r="BA29" s="39"/>
      <c r="BB29" s="39"/>
      <c r="BC29" s="39"/>
      <c r="BD29" s="39"/>
      <c r="BE29" s="39"/>
      <c r="BF29" s="40"/>
      <c r="BG29" s="41">
        <f>BG23+BG16+BG11+BG4</f>
        <v>56</v>
      </c>
      <c r="BH29" s="41">
        <f>BH23+BH16+BH11+BH4</f>
        <v>56</v>
      </c>
      <c r="BI29" s="41">
        <f>BI23+BI16+BI11+BI4</f>
        <v>112</v>
      </c>
    </row>
    <row r="30" spans="1:61" s="3" customFormat="1" ht="13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spans="1:61" s="3" customFormat="1" ht="13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</row>
    <row r="32" spans="1:61" s="3" customFormat="1" ht="13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</row>
    <row r="33" spans="1:58" s="3" customFormat="1" ht="13" x14ac:dyDescent="0.3">
      <c r="A33" s="2"/>
      <c r="B33" s="49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</row>
    <row r="34" spans="1:58" s="3" customFormat="1" ht="13" x14ac:dyDescent="0.3">
      <c r="A34" s="2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</row>
    <row r="35" spans="1:58" s="3" customFormat="1" ht="13" x14ac:dyDescent="0.3">
      <c r="A35" s="2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</row>
    <row r="36" spans="1:58" s="3" customFormat="1" ht="13" x14ac:dyDescent="0.3">
      <c r="A36" s="2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</row>
    <row r="37" spans="1:58" s="3" customFormat="1" ht="13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</row>
    <row r="38" spans="1:58" s="3" customFormat="1" ht="13" x14ac:dyDescent="0.3">
      <c r="A38" s="2"/>
      <c r="B38" s="49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</row>
    <row r="39" spans="1:58" s="3" customFormat="1" ht="13" x14ac:dyDescent="0.3">
      <c r="A39" s="2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</row>
    <row r="40" spans="1:58" s="3" customFormat="1" ht="13" x14ac:dyDescent="0.3">
      <c r="A40" s="2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</row>
    <row r="41" spans="1:58" s="3" customFormat="1" ht="13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</row>
    <row r="42" spans="1:58" s="3" customFormat="1" ht="13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</row>
    <row r="43" spans="1:58" s="3" customFormat="1" ht="13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</row>
    <row r="44" spans="1:58" s="3" customFormat="1" ht="13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</row>
    <row r="45" spans="1:58" s="3" customFormat="1" ht="13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</row>
    <row r="46" spans="1:58" s="3" customFormat="1" ht="13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</row>
    <row r="47" spans="1:58" s="3" customFormat="1" ht="13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</row>
    <row r="48" spans="1:58" s="3" customFormat="1" ht="13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</row>
    <row r="49" spans="3:58" s="3" customFormat="1" ht="13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</row>
    <row r="50" spans="3:58" s="3" customFormat="1" ht="13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</row>
    <row r="51" spans="3:58" s="3" customFormat="1" ht="13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</row>
    <row r="52" spans="3:58" s="3" customFormat="1" ht="13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</row>
    <row r="53" spans="3:58" s="3" customFormat="1" ht="13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</row>
    <row r="54" spans="3:58" s="3" customFormat="1" ht="13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</row>
    <row r="55" spans="3:58" s="3" customFormat="1" ht="13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</row>
    <row r="56" spans="3:58" s="3" customFormat="1" ht="13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</row>
    <row r="57" spans="3:58" s="3" customFormat="1" ht="13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</row>
    <row r="58" spans="3:58" s="3" customFormat="1" ht="13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</row>
    <row r="59" spans="3:58" s="3" customFormat="1" ht="13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</row>
    <row r="60" spans="3:58" s="3" customFormat="1" ht="13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</row>
    <row r="61" spans="3:58" s="3" customFormat="1" ht="13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</row>
    <row r="62" spans="3:58" s="3" customFormat="1" ht="13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</row>
    <row r="63" spans="3:58" s="3" customFormat="1" ht="13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</row>
    <row r="64" spans="3:58" s="3" customFormat="1" ht="13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</row>
    <row r="65" spans="3:58" s="3" customFormat="1" ht="13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</row>
    <row r="66" spans="3:58" s="3" customFormat="1" ht="13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</row>
    <row r="67" spans="3:58" s="3" customFormat="1" ht="13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</row>
    <row r="68" spans="3:58" s="3" customFormat="1" ht="13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</row>
    <row r="69" spans="3:58" s="3" customFormat="1" ht="13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</row>
    <row r="70" spans="3:58" s="3" customFormat="1" ht="13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</row>
    <row r="71" spans="3:58" s="3" customFormat="1" ht="13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</row>
    <row r="72" spans="3:58" s="3" customFormat="1" ht="13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</row>
    <row r="73" spans="3:58" s="3" customFormat="1" ht="13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</row>
    <row r="74" spans="3:58" s="3" customFormat="1" ht="13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</row>
    <row r="75" spans="3:58" s="3" customFormat="1" ht="13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</row>
    <row r="76" spans="3:58" s="3" customFormat="1" ht="13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</row>
    <row r="77" spans="3:58" s="3" customFormat="1" ht="13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</row>
    <row r="78" spans="3:58" s="3" customFormat="1" ht="13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</row>
    <row r="79" spans="3:58" s="3" customFormat="1" ht="13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</row>
    <row r="80" spans="3:58" s="3" customFormat="1" ht="13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</row>
    <row r="81" spans="3:58" s="3" customFormat="1" ht="13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</row>
    <row r="82" spans="3:58" s="3" customFormat="1" ht="13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</row>
    <row r="83" spans="3:58" s="3" customFormat="1" ht="13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</row>
    <row r="84" spans="3:58" s="3" customFormat="1" ht="13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</row>
    <row r="85" spans="3:58" s="3" customFormat="1" ht="13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</row>
    <row r="86" spans="3:58" s="3" customFormat="1" ht="13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</row>
    <row r="87" spans="3:58" s="3" customFormat="1" ht="13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</row>
    <row r="88" spans="3:58" s="3" customFormat="1" ht="13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</row>
    <row r="89" spans="3:58" s="3" customFormat="1" ht="13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</row>
    <row r="90" spans="3:58" s="3" customFormat="1" ht="13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</row>
    <row r="91" spans="3:58" s="3" customFormat="1" ht="13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</row>
    <row r="92" spans="3:58" s="3" customFormat="1" ht="13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</row>
    <row r="93" spans="3:58" s="3" customFormat="1" ht="13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</row>
    <row r="94" spans="3:58" s="3" customFormat="1" ht="13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</row>
    <row r="95" spans="3:58" s="3" customFormat="1" ht="13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</row>
    <row r="96" spans="3:58" s="3" customFormat="1" ht="13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</row>
    <row r="97" spans="3:58" s="3" customFormat="1" ht="13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</row>
    <row r="98" spans="3:58" s="3" customFormat="1" ht="13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</row>
    <row r="99" spans="3:58" s="3" customFormat="1" ht="13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</row>
    <row r="100" spans="3:58" s="3" customFormat="1" ht="13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</row>
    <row r="101" spans="3:58" s="3" customFormat="1" ht="13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</row>
    <row r="102" spans="3:58" s="3" customFormat="1" ht="13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</row>
    <row r="103" spans="3:58" s="3" customFormat="1" ht="13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</row>
    <row r="104" spans="3:58" s="3" customFormat="1" ht="13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</row>
    <row r="105" spans="3:58" s="3" customFormat="1" ht="13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</row>
    <row r="106" spans="3:58" s="3" customFormat="1" ht="13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</row>
    <row r="107" spans="3:58" s="3" customFormat="1" ht="13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</row>
    <row r="108" spans="3:58" s="3" customFormat="1" ht="13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</row>
    <row r="109" spans="3:58" s="3" customFormat="1" ht="13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</row>
    <row r="110" spans="3:58" s="3" customFormat="1" ht="13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</row>
    <row r="111" spans="3:58" s="3" customFormat="1" ht="13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</row>
    <row r="112" spans="3:58" s="3" customFormat="1" ht="13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</row>
    <row r="113" spans="3:58" s="3" customFormat="1" ht="13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</row>
    <row r="114" spans="3:58" s="3" customFormat="1" ht="13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</row>
    <row r="115" spans="3:58" s="3" customFormat="1" ht="13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</row>
    <row r="116" spans="3:58" s="3" customFormat="1" ht="13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</row>
    <row r="117" spans="3:58" s="3" customFormat="1" ht="13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</row>
    <row r="118" spans="3:58" s="3" customFormat="1" ht="13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</row>
    <row r="119" spans="3:58" s="3" customFormat="1" ht="13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</row>
    <row r="120" spans="3:58" s="3" customFormat="1" ht="13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</row>
    <row r="121" spans="3:58" s="3" customFormat="1" ht="13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</row>
    <row r="122" spans="3:58" s="3" customFormat="1" ht="13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</row>
    <row r="123" spans="3:58" s="3" customFormat="1" ht="13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</row>
    <row r="124" spans="3:58" s="3" customFormat="1" ht="13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</row>
    <row r="125" spans="3:58" s="3" customFormat="1" ht="13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</row>
    <row r="126" spans="3:58" s="3" customFormat="1" ht="13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</row>
    <row r="127" spans="3:58" s="3" customFormat="1" ht="13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</row>
    <row r="128" spans="3:58" s="3" customFormat="1" ht="13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</row>
    <row r="129" spans="3:58" s="3" customFormat="1" ht="13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</row>
    <row r="130" spans="3:58" s="3" customFormat="1" ht="13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</row>
    <row r="131" spans="3:58" s="3" customFormat="1" ht="13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</row>
    <row r="132" spans="3:58" s="3" customFormat="1" ht="13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</row>
    <row r="133" spans="3:58" s="3" customFormat="1" ht="13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</row>
    <row r="134" spans="3:58" s="3" customFormat="1" ht="13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</row>
    <row r="135" spans="3:58" s="3" customFormat="1" ht="13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</row>
    <row r="136" spans="3:58" s="3" customFormat="1" ht="13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</row>
    <row r="137" spans="3:58" s="3" customFormat="1" ht="13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</row>
    <row r="138" spans="3:58" s="3" customFormat="1" ht="13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</row>
    <row r="139" spans="3:58" s="3" customFormat="1" ht="13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</row>
    <row r="140" spans="3:58" s="3" customFormat="1" ht="13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</row>
    <row r="141" spans="3:58" s="3" customFormat="1" ht="13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</row>
    <row r="142" spans="3:58" s="3" customFormat="1" ht="13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</row>
    <row r="143" spans="3:58" s="3" customFormat="1" ht="13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</row>
    <row r="144" spans="3:58" s="3" customFormat="1" ht="13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</row>
    <row r="145" spans="3:58" s="3" customFormat="1" ht="13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</row>
    <row r="146" spans="3:58" s="3" customFormat="1" ht="13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</row>
    <row r="147" spans="3:58" s="3" customFormat="1" ht="13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</row>
    <row r="148" spans="3:58" s="3" customFormat="1" ht="13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</row>
    <row r="149" spans="3:58" s="3" customFormat="1" ht="13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</row>
    <row r="150" spans="3:58" s="3" customFormat="1" ht="13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</row>
    <row r="151" spans="3:58" s="3" customFormat="1" ht="13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</row>
    <row r="152" spans="3:58" s="3" customFormat="1" ht="13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</row>
    <row r="153" spans="3:58" s="3" customFormat="1" ht="13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</row>
    <row r="154" spans="3:58" s="3" customFormat="1" ht="13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</row>
    <row r="155" spans="3:58" s="3" customFormat="1" ht="13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</row>
    <row r="156" spans="3:58" s="3" customFormat="1" ht="13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</row>
    <row r="157" spans="3:58" s="3" customFormat="1" ht="13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</row>
    <row r="158" spans="3:58" s="3" customFormat="1" ht="13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</row>
    <row r="159" spans="3:58" s="3" customFormat="1" ht="13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</row>
    <row r="160" spans="3:58" s="3" customFormat="1" ht="13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</row>
    <row r="161" spans="3:58" s="3" customFormat="1" ht="13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</row>
    <row r="162" spans="3:58" s="3" customFormat="1" ht="13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</row>
    <row r="163" spans="3:58" s="3" customFormat="1" ht="13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</row>
    <row r="164" spans="3:58" s="3" customFormat="1" ht="13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</row>
    <row r="165" spans="3:58" s="3" customFormat="1" ht="13" x14ac:dyDescent="0.3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</row>
    <row r="166" spans="3:58" s="3" customFormat="1" ht="13" x14ac:dyDescent="0.3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</row>
    <row r="167" spans="3:58" s="3" customFormat="1" ht="13" x14ac:dyDescent="0.3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</row>
    <row r="168" spans="3:58" s="3" customFormat="1" ht="13" x14ac:dyDescent="0.3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</row>
    <row r="169" spans="3:58" s="3" customFormat="1" ht="13" x14ac:dyDescent="0.3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</row>
    <row r="170" spans="3:58" s="3" customFormat="1" ht="13" x14ac:dyDescent="0.3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</row>
    <row r="171" spans="3:58" s="3" customFormat="1" ht="13" x14ac:dyDescent="0.3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</row>
    <row r="172" spans="3:58" s="3" customFormat="1" ht="13" x14ac:dyDescent="0.3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</row>
    <row r="173" spans="3:58" s="3" customFormat="1" ht="13" x14ac:dyDescent="0.3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</row>
    <row r="174" spans="3:58" s="3" customFormat="1" ht="13" x14ac:dyDescent="0.3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</row>
    <row r="175" spans="3:58" s="3" customFormat="1" ht="13" x14ac:dyDescent="0.3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</row>
    <row r="176" spans="3:58" s="3" customFormat="1" ht="13" x14ac:dyDescent="0.3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</row>
  </sheetData>
  <mergeCells count="13">
    <mergeCell ref="A1:BJ1"/>
    <mergeCell ref="D3:H3"/>
    <mergeCell ref="I3:M3"/>
    <mergeCell ref="N3:R3"/>
    <mergeCell ref="AM3:AQ3"/>
    <mergeCell ref="BG2:BI2"/>
    <mergeCell ref="AR3:AV3"/>
    <mergeCell ref="AW3:BA3"/>
    <mergeCell ref="BB3:BF3"/>
    <mergeCell ref="S3:W3"/>
    <mergeCell ref="X3:AB3"/>
    <mergeCell ref="AC3:AG3"/>
    <mergeCell ref="AH3:AL3"/>
  </mergeCells>
  <pageMargins left="0.7" right="0.7" top="0.75" bottom="0.75" header="0.3" footer="0.3"/>
  <pageSetup paperSize="8" orientation="landscape" r:id="rId1"/>
  <headerFooter>
    <oddHeader xml:space="preserve">&amp;CMF1024 Produktutveckling VT2019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Organisation</vt:lpstr>
      <vt:lpstr>Övergripande tidplan</vt:lpstr>
      <vt:lpstr>Tidplan Grupp A</vt:lpstr>
      <vt:lpstr>Tidplan Grupp B</vt:lpstr>
      <vt:lpstr>Tidplan Grupp C</vt:lpstr>
    </vt:vector>
  </TitlesOfParts>
  <Company>MMK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Söderberg</dc:creator>
  <cp:lastModifiedBy>Christer Spiegelberg</cp:lastModifiedBy>
  <cp:lastPrinted>2012-08-22T10:59:37Z</cp:lastPrinted>
  <dcterms:created xsi:type="dcterms:W3CDTF">2012-08-14T14:50:21Z</dcterms:created>
  <dcterms:modified xsi:type="dcterms:W3CDTF">2020-08-11T15:05:21Z</dcterms:modified>
</cp:coreProperties>
</file>